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50" windowWidth="23640" windowHeight="9780" activeTab="4"/>
  </bookViews>
  <sheets>
    <sheet name="Arkusz1" sheetId="1" r:id="rId1"/>
    <sheet name="Arkusz2" sheetId="2" r:id="rId2"/>
    <sheet name="Arkusz3" sheetId="3" r:id="rId3"/>
    <sheet name="Arkusz4" sheetId="4" r:id="rId4"/>
    <sheet name="Arkusz5" sheetId="5" r:id="rId5"/>
  </sheets>
  <functionGroups/>
  <calcPr calcId="125725"/>
</workbook>
</file>

<file path=xl/calcChain.xml><?xml version="1.0" encoding="utf-8"?>
<calcChain xmlns="http://schemas.openxmlformats.org/spreadsheetml/2006/main">
  <c r="F14" i="5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C58"/>
  <c r="C59"/>
  <c r="B12"/>
  <c r="B13"/>
  <c r="B14"/>
  <c r="C60" l="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2"/>
  <c r="C34"/>
  <c r="C35"/>
  <c r="C31"/>
  <c r="C32"/>
  <c r="C22"/>
  <c r="C23"/>
  <c r="C12"/>
  <c r="C13"/>
  <c r="C4"/>
  <c r="C5" s="1"/>
  <c r="C3"/>
  <c r="B6"/>
  <c r="B7"/>
  <c r="B8"/>
  <c r="B9"/>
  <c r="B10"/>
  <c r="B11"/>
  <c r="B2"/>
  <c r="B3"/>
  <c r="B4"/>
  <c r="B5"/>
  <c r="B1"/>
  <c r="D25" i="4"/>
  <c r="D15"/>
  <c r="D19"/>
  <c r="D23"/>
  <c r="D5"/>
  <c r="D9"/>
  <c r="B36"/>
  <c r="B29"/>
  <c r="B33"/>
  <c r="B6"/>
  <c r="B10"/>
  <c r="B14"/>
  <c r="B18"/>
  <c r="B22"/>
  <c r="B26"/>
  <c r="B9" i="3"/>
  <c r="C26"/>
  <c r="C21"/>
  <c r="C17"/>
  <c r="C13"/>
  <c r="C9"/>
  <c r="C5"/>
  <c r="B26"/>
  <c r="B23"/>
  <c r="B18"/>
  <c r="B15"/>
  <c r="B11"/>
  <c r="B6"/>
  <c r="G4" i="2"/>
  <c r="G8"/>
  <c r="G12"/>
  <c r="G16"/>
  <c r="G20"/>
  <c r="G24"/>
  <c r="G28"/>
  <c r="G32"/>
  <c r="G36"/>
  <c r="G40"/>
  <c r="F4"/>
  <c r="F8"/>
  <c r="F12"/>
  <c r="F16"/>
  <c r="F20"/>
  <c r="F24"/>
  <c r="F28"/>
  <c r="F32"/>
  <c r="F36"/>
  <c r="F40"/>
  <c r="E3"/>
  <c r="E7"/>
  <c r="E11"/>
  <c r="E15"/>
  <c r="E19"/>
  <c r="E23"/>
  <c r="E27"/>
  <c r="E31"/>
  <c r="E35"/>
  <c r="E39"/>
  <c r="E2"/>
  <c r="D6"/>
  <c r="D10"/>
  <c r="D14"/>
  <c r="D18"/>
  <c r="D22"/>
  <c r="D26"/>
  <c r="D30"/>
  <c r="D34"/>
  <c r="D38"/>
  <c r="D42"/>
  <c r="C5"/>
  <c r="C9"/>
  <c r="C13"/>
  <c r="C17"/>
  <c r="C21"/>
  <c r="C25"/>
  <c r="C29"/>
  <c r="C33"/>
  <c r="C37"/>
  <c r="C41"/>
  <c r="B4"/>
  <c r="B8"/>
  <c r="B12"/>
  <c r="B16"/>
  <c r="B20"/>
  <c r="B24"/>
  <c r="B28"/>
  <c r="B32"/>
  <c r="B36"/>
  <c r="B40"/>
  <c r="N38" i="1"/>
  <c r="O39"/>
  <c r="O6"/>
  <c r="O10"/>
  <c r="O14"/>
  <c r="O18"/>
  <c r="O22"/>
  <c r="O26"/>
  <c r="O30"/>
  <c r="O34"/>
  <c r="N36"/>
  <c r="N32"/>
  <c r="N29"/>
  <c r="N23"/>
  <c r="N20"/>
  <c r="N10"/>
  <c r="N14"/>
  <c r="N18"/>
  <c r="N6"/>
  <c r="M30"/>
  <c r="M34"/>
  <c r="M38"/>
  <c r="M42"/>
  <c r="M46"/>
  <c r="M50"/>
  <c r="M54"/>
  <c r="M58"/>
  <c r="M62"/>
  <c r="M66"/>
  <c r="M70"/>
  <c r="M74"/>
  <c r="M78"/>
  <c r="M82"/>
  <c r="M86"/>
  <c r="M90"/>
  <c r="M94"/>
  <c r="M98"/>
  <c r="M102"/>
  <c r="M106"/>
  <c r="M110"/>
  <c r="M114"/>
  <c r="M118"/>
  <c r="M122"/>
  <c r="M126"/>
  <c r="M130"/>
  <c r="M134"/>
  <c r="M138"/>
  <c r="M142"/>
  <c r="M146"/>
  <c r="M150"/>
  <c r="M154"/>
  <c r="M158"/>
  <c r="M5"/>
  <c r="M9"/>
  <c r="M13"/>
  <c r="M17"/>
  <c r="M21"/>
  <c r="M25"/>
  <c r="L153"/>
  <c r="L157"/>
  <c r="L92"/>
  <c r="L96"/>
  <c r="L100"/>
  <c r="L104"/>
  <c r="L108"/>
  <c r="L112"/>
  <c r="L116"/>
  <c r="L120"/>
  <c r="L124"/>
  <c r="L128"/>
  <c r="L132"/>
  <c r="L136"/>
  <c r="L140"/>
  <c r="L144"/>
  <c r="L148"/>
  <c r="L152"/>
  <c r="L69"/>
  <c r="L73"/>
  <c r="L77"/>
  <c r="L81"/>
  <c r="L85"/>
  <c r="L89"/>
  <c r="L61"/>
  <c r="L65"/>
  <c r="L54"/>
  <c r="L43"/>
  <c r="L47"/>
  <c r="L39"/>
  <c r="L37"/>
  <c r="L34"/>
  <c r="L31"/>
  <c r="L25"/>
  <c r="L22"/>
  <c r="L18"/>
  <c r="L13"/>
  <c r="L10"/>
  <c r="L2"/>
  <c r="L6"/>
  <c r="H32"/>
  <c r="I35"/>
  <c r="I7"/>
  <c r="H5"/>
  <c r="H21"/>
  <c r="G9"/>
  <c r="G25"/>
  <c r="F19"/>
  <c r="F4"/>
  <c r="B26"/>
  <c r="C36"/>
  <c r="D34"/>
  <c r="D12"/>
  <c r="C34"/>
  <c r="H36"/>
  <c r="I30"/>
  <c r="I23"/>
  <c r="I5"/>
  <c r="H16"/>
  <c r="G4"/>
  <c r="G20"/>
  <c r="F28"/>
  <c r="F10"/>
  <c r="E37"/>
  <c r="B20"/>
  <c r="E16"/>
  <c r="C17"/>
  <c r="B28"/>
  <c r="D24"/>
  <c r="B31"/>
  <c r="D26" i="4"/>
  <c r="D14"/>
  <c r="D18"/>
  <c r="D22"/>
  <c r="D4"/>
  <c r="D8"/>
  <c r="D2"/>
  <c r="B34"/>
  <c r="B32"/>
  <c r="B5"/>
  <c r="B9"/>
  <c r="B13"/>
  <c r="B17"/>
  <c r="B21"/>
  <c r="B25"/>
  <c r="B2"/>
  <c r="C25" i="3"/>
  <c r="C22"/>
  <c r="C18"/>
  <c r="C14"/>
  <c r="C10"/>
  <c r="C6"/>
  <c r="B25"/>
  <c r="B22"/>
  <c r="B21"/>
  <c r="B16"/>
  <c r="B12"/>
  <c r="B7"/>
  <c r="B3"/>
  <c r="G7" i="2"/>
  <c r="G11"/>
  <c r="G15"/>
  <c r="G19"/>
  <c r="G23"/>
  <c r="G27"/>
  <c r="G31"/>
  <c r="G35"/>
  <c r="G39"/>
  <c r="G3"/>
  <c r="F7"/>
  <c r="F11"/>
  <c r="F15"/>
  <c r="F19"/>
  <c r="F23"/>
  <c r="F27"/>
  <c r="F31"/>
  <c r="F35"/>
  <c r="F39"/>
  <c r="F3"/>
  <c r="E6"/>
  <c r="E10"/>
  <c r="E14"/>
  <c r="E18"/>
  <c r="E22"/>
  <c r="E26"/>
  <c r="E30"/>
  <c r="E34"/>
  <c r="E38"/>
  <c r="E42"/>
  <c r="D5"/>
  <c r="D9"/>
  <c r="D13"/>
  <c r="D17"/>
  <c r="D21"/>
  <c r="D25"/>
  <c r="D29"/>
  <c r="D33"/>
  <c r="D37"/>
  <c r="D41"/>
  <c r="C4"/>
  <c r="C8"/>
  <c r="C12"/>
  <c r="C16"/>
  <c r="C20"/>
  <c r="C24"/>
  <c r="C28"/>
  <c r="C32"/>
  <c r="C36"/>
  <c r="C40"/>
  <c r="B3"/>
  <c r="B7"/>
  <c r="B11"/>
  <c r="B15"/>
  <c r="B19"/>
  <c r="B23"/>
  <c r="B27"/>
  <c r="B31"/>
  <c r="B35"/>
  <c r="B39"/>
  <c r="B2"/>
  <c r="O38" i="1"/>
  <c r="O5"/>
  <c r="O9"/>
  <c r="O13"/>
  <c r="O17"/>
  <c r="O21"/>
  <c r="O25"/>
  <c r="O29"/>
  <c r="O33"/>
  <c r="O2"/>
  <c r="N31"/>
  <c r="N28"/>
  <c r="N22"/>
  <c r="N19"/>
  <c r="N9"/>
  <c r="N13"/>
  <c r="N17"/>
  <c r="N5"/>
  <c r="M29"/>
  <c r="M33"/>
  <c r="M37"/>
  <c r="M41"/>
  <c r="M45"/>
  <c r="M49"/>
  <c r="M53"/>
  <c r="M57"/>
  <c r="M61"/>
  <c r="M65"/>
  <c r="M69"/>
  <c r="M73"/>
  <c r="M77"/>
  <c r="M81"/>
  <c r="M85"/>
  <c r="M89"/>
  <c r="M93"/>
  <c r="M97"/>
  <c r="M101"/>
  <c r="M105"/>
  <c r="M109"/>
  <c r="M113"/>
  <c r="M117"/>
  <c r="M121"/>
  <c r="M125"/>
  <c r="M129"/>
  <c r="M133"/>
  <c r="M137"/>
  <c r="M141"/>
  <c r="M145"/>
  <c r="M149"/>
  <c r="M153"/>
  <c r="M157"/>
  <c r="M4"/>
  <c r="M8"/>
  <c r="M12"/>
  <c r="M16"/>
  <c r="M20"/>
  <c r="M24"/>
  <c r="M28"/>
  <c r="L156"/>
  <c r="L91"/>
  <c r="L95"/>
  <c r="L99"/>
  <c r="L103"/>
  <c r="L107"/>
  <c r="L111"/>
  <c r="L115"/>
  <c r="L119"/>
  <c r="L123"/>
  <c r="L127"/>
  <c r="L131"/>
  <c r="L135"/>
  <c r="L139"/>
  <c r="L143"/>
  <c r="L147"/>
  <c r="L151"/>
  <c r="L68"/>
  <c r="L72"/>
  <c r="L76"/>
  <c r="L80"/>
  <c r="L84"/>
  <c r="L88"/>
  <c r="L60"/>
  <c r="L64"/>
  <c r="L53"/>
  <c r="L57"/>
  <c r="L46"/>
  <c r="L50"/>
  <c r="L42"/>
  <c r="L36"/>
  <c r="L30"/>
  <c r="L27"/>
  <c r="L24"/>
  <c r="L19"/>
  <c r="L12"/>
  <c r="L11"/>
  <c r="L7"/>
  <c r="L5"/>
  <c r="H35"/>
  <c r="I31"/>
  <c r="I24"/>
  <c r="I1"/>
  <c r="H17"/>
  <c r="G5"/>
  <c r="G21"/>
  <c r="F24"/>
  <c r="F11"/>
  <c r="C9"/>
  <c r="D12" i="4"/>
  <c r="D16"/>
  <c r="D20"/>
  <c r="D24"/>
  <c r="D6"/>
  <c r="D10"/>
  <c r="B37"/>
  <c r="B30"/>
  <c r="B3"/>
  <c r="B7"/>
  <c r="B11"/>
  <c r="B15"/>
  <c r="B19"/>
  <c r="B23"/>
  <c r="B27"/>
  <c r="C23" i="3"/>
  <c r="C27"/>
  <c r="C20"/>
  <c r="C16"/>
  <c r="C12"/>
  <c r="C8"/>
  <c r="C4"/>
  <c r="B27"/>
  <c r="B24"/>
  <c r="B19"/>
  <c r="B14"/>
  <c r="B10"/>
  <c r="B4"/>
  <c r="G5" i="2"/>
  <c r="G9"/>
  <c r="G13"/>
  <c r="G17"/>
  <c r="G21"/>
  <c r="G25"/>
  <c r="G29"/>
  <c r="G33"/>
  <c r="G37"/>
  <c r="G41"/>
  <c r="F5"/>
  <c r="F9"/>
  <c r="F13"/>
  <c r="F17"/>
  <c r="F21"/>
  <c r="F25"/>
  <c r="F29"/>
  <c r="F33"/>
  <c r="F37"/>
  <c r="F41"/>
  <c r="E4"/>
  <c r="E8"/>
  <c r="E12"/>
  <c r="E16"/>
  <c r="E20"/>
  <c r="E24"/>
  <c r="E28"/>
  <c r="E32"/>
  <c r="E36"/>
  <c r="E40"/>
  <c r="D3"/>
  <c r="D7"/>
  <c r="D11"/>
  <c r="D15"/>
  <c r="D19"/>
  <c r="D23"/>
  <c r="D27"/>
  <c r="D31"/>
  <c r="D35"/>
  <c r="D39"/>
  <c r="D2"/>
  <c r="C6"/>
  <c r="C10"/>
  <c r="C14"/>
  <c r="C18"/>
  <c r="C22"/>
  <c r="C26"/>
  <c r="C30"/>
  <c r="C34"/>
  <c r="C38"/>
  <c r="C42"/>
  <c r="B5"/>
  <c r="B9"/>
  <c r="B13"/>
  <c r="B17"/>
  <c r="B21"/>
  <c r="B25"/>
  <c r="B29"/>
  <c r="B33"/>
  <c r="B37"/>
  <c r="B41"/>
  <c r="N37" i="1"/>
  <c r="O3"/>
  <c r="O7"/>
  <c r="O11"/>
  <c r="O15"/>
  <c r="O19"/>
  <c r="O23"/>
  <c r="O27"/>
  <c r="O31"/>
  <c r="O35"/>
  <c r="N35"/>
  <c r="N33"/>
  <c r="N26"/>
  <c r="N24"/>
  <c r="N21"/>
  <c r="N11"/>
  <c r="N15"/>
  <c r="N3"/>
  <c r="N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2"/>
  <c r="M6"/>
  <c r="M10"/>
  <c r="M14"/>
  <c r="M18"/>
  <c r="M22"/>
  <c r="M26"/>
  <c r="L154"/>
  <c r="L158"/>
  <c r="L93"/>
  <c r="L97"/>
  <c r="L101"/>
  <c r="L105"/>
  <c r="L109"/>
  <c r="L113"/>
  <c r="L117"/>
  <c r="L121"/>
  <c r="L125"/>
  <c r="L129"/>
  <c r="L133"/>
  <c r="L137"/>
  <c r="L141"/>
  <c r="L145"/>
  <c r="L149"/>
  <c r="L66"/>
  <c r="L70"/>
  <c r="L74"/>
  <c r="L78"/>
  <c r="L82"/>
  <c r="L86"/>
  <c r="L58"/>
  <c r="L62"/>
  <c r="L51"/>
  <c r="L55"/>
  <c r="L44"/>
  <c r="L48"/>
  <c r="L40"/>
  <c r="L38"/>
  <c r="L32"/>
  <c r="L28"/>
  <c r="L26"/>
  <c r="L20"/>
  <c r="L16"/>
  <c r="L14"/>
  <c r="L9"/>
  <c r="L3"/>
  <c r="M1"/>
  <c r="H28"/>
  <c r="I16"/>
  <c r="I11"/>
  <c r="H9"/>
  <c r="F29"/>
  <c r="G13"/>
  <c r="G29"/>
  <c r="F17"/>
  <c r="E5"/>
  <c r="B33"/>
  <c r="E4"/>
  <c r="B24"/>
  <c r="C15"/>
  <c r="E3"/>
  <c r="H31"/>
  <c r="I34"/>
  <c r="I6"/>
  <c r="H4"/>
  <c r="H20"/>
  <c r="G8"/>
  <c r="G24"/>
  <c r="F23"/>
  <c r="F3"/>
  <c r="D31"/>
  <c r="D9"/>
  <c r="E32"/>
  <c r="C6"/>
  <c r="E10"/>
  <c r="C10"/>
  <c r="B18"/>
  <c r="B21"/>
  <c r="B19"/>
  <c r="H33"/>
  <c r="I33"/>
  <c r="I26"/>
  <c r="H3"/>
  <c r="H19"/>
  <c r="G7"/>
  <c r="G23"/>
  <c r="F22"/>
  <c r="F8"/>
  <c r="D27"/>
  <c r="E31"/>
  <c r="E28"/>
  <c r="C37"/>
  <c r="E6"/>
  <c r="D36"/>
  <c r="B14"/>
  <c r="B12"/>
  <c r="B6"/>
  <c r="H30"/>
  <c r="I36"/>
  <c r="I8"/>
  <c r="H6"/>
  <c r="H22"/>
  <c r="G10"/>
  <c r="G26"/>
  <c r="F20"/>
  <c r="F5"/>
  <c r="C22"/>
  <c r="D33"/>
  <c r="D5"/>
  <c r="B11"/>
  <c r="E18"/>
  <c r="C19"/>
  <c r="D6"/>
  <c r="B37"/>
  <c r="E2"/>
  <c r="C21"/>
  <c r="D13" i="4"/>
  <c r="D7"/>
  <c r="B4"/>
  <c r="B20"/>
  <c r="C28" i="3"/>
  <c r="C7"/>
  <c r="B17"/>
  <c r="G6" i="2"/>
  <c r="G22"/>
  <c r="G38"/>
  <c r="F14"/>
  <c r="F30"/>
  <c r="E5"/>
  <c r="E21"/>
  <c r="E37"/>
  <c r="D12"/>
  <c r="D28"/>
  <c r="C3"/>
  <c r="C19"/>
  <c r="C35"/>
  <c r="B10"/>
  <c r="B26"/>
  <c r="B42"/>
  <c r="O12" i="1"/>
  <c r="O28"/>
  <c r="N30"/>
  <c r="N12"/>
  <c r="M32"/>
  <c r="M48"/>
  <c r="M64"/>
  <c r="M80"/>
  <c r="M96"/>
  <c r="M112"/>
  <c r="M128"/>
  <c r="M144"/>
  <c r="M3"/>
  <c r="M19"/>
  <c r="L90"/>
  <c r="L106"/>
  <c r="L122"/>
  <c r="L138"/>
  <c r="L67"/>
  <c r="L83"/>
  <c r="L52"/>
  <c r="L41"/>
  <c r="L23"/>
  <c r="L8"/>
  <c r="I20"/>
  <c r="G17"/>
  <c r="E11"/>
  <c r="C16"/>
  <c r="C5"/>
  <c r="I15"/>
  <c r="H8"/>
  <c r="G12"/>
  <c r="F16"/>
  <c r="C7"/>
  <c r="D14"/>
  <c r="E26"/>
  <c r="D23"/>
  <c r="D13"/>
  <c r="H37"/>
  <c r="I37"/>
  <c r="I13"/>
  <c r="H15"/>
  <c r="G11"/>
  <c r="G31"/>
  <c r="F9"/>
  <c r="C30"/>
  <c r="B13"/>
  <c r="C12"/>
  <c r="E22"/>
  <c r="C4"/>
  <c r="B34"/>
  <c r="B2"/>
  <c r="I28"/>
  <c r="I25"/>
  <c r="H2"/>
  <c r="G36"/>
  <c r="G22"/>
  <c r="F18"/>
  <c r="E29"/>
  <c r="E19"/>
  <c r="D22"/>
  <c r="C28"/>
  <c r="D32"/>
  <c r="D37"/>
  <c r="D28"/>
  <c r="C20"/>
  <c r="H10"/>
  <c r="F25"/>
  <c r="E24"/>
  <c r="B9"/>
  <c r="E30"/>
  <c r="D27" i="4"/>
  <c r="D3"/>
  <c r="B31"/>
  <c r="B16"/>
  <c r="C24" i="3"/>
  <c r="C11"/>
  <c r="B20"/>
  <c r="B5"/>
  <c r="G18" i="2"/>
  <c r="G34"/>
  <c r="F10"/>
  <c r="F26"/>
  <c r="F42"/>
  <c r="E17"/>
  <c r="E33"/>
  <c r="D8"/>
  <c r="D24"/>
  <c r="D40"/>
  <c r="C15"/>
  <c r="C31"/>
  <c r="B6"/>
  <c r="B22"/>
  <c r="B38"/>
  <c r="O8" i="1"/>
  <c r="O24"/>
  <c r="N34"/>
  <c r="N8"/>
  <c r="N2"/>
  <c r="M44"/>
  <c r="M60"/>
  <c r="M76"/>
  <c r="M92"/>
  <c r="M108"/>
  <c r="M124"/>
  <c r="M140"/>
  <c r="M156"/>
  <c r="M15"/>
  <c r="L155"/>
  <c r="L102"/>
  <c r="L118"/>
  <c r="L134"/>
  <c r="L150"/>
  <c r="L79"/>
  <c r="L63"/>
  <c r="L49"/>
  <c r="L29"/>
  <c r="L15"/>
  <c r="I27"/>
  <c r="G35"/>
  <c r="D11"/>
  <c r="D18"/>
  <c r="E25"/>
  <c r="H24"/>
  <c r="I14"/>
  <c r="G34"/>
  <c r="G32"/>
  <c r="E17"/>
  <c r="B15"/>
  <c r="D29"/>
  <c r="C8"/>
  <c r="B16"/>
  <c r="C1"/>
  <c r="I29"/>
  <c r="I9"/>
  <c r="H11"/>
  <c r="G3"/>
  <c r="G27"/>
  <c r="F14"/>
  <c r="E33"/>
  <c r="C11"/>
  <c r="D26"/>
  <c r="B32"/>
  <c r="C18"/>
  <c r="H25"/>
  <c r="I21"/>
  <c r="G37"/>
  <c r="B29"/>
  <c r="D16"/>
  <c r="E21"/>
  <c r="C2"/>
  <c r="D21" i="4"/>
  <c r="B35"/>
  <c r="B12"/>
  <c r="B28"/>
  <c r="C15" i="3"/>
  <c r="B28"/>
  <c r="B8"/>
  <c r="G14" i="2"/>
  <c r="G30"/>
  <c r="F6"/>
  <c r="F22"/>
  <c r="F38"/>
  <c r="E13"/>
  <c r="E29"/>
  <c r="D4"/>
  <c r="D20"/>
  <c r="D36"/>
  <c r="C11"/>
  <c r="C27"/>
  <c r="C2"/>
  <c r="B18"/>
  <c r="B34"/>
  <c r="O4" i="1"/>
  <c r="O20"/>
  <c r="O36"/>
  <c r="N25"/>
  <c r="N4"/>
  <c r="M40"/>
  <c r="M56"/>
  <c r="M72"/>
  <c r="M88"/>
  <c r="M104"/>
  <c r="M120"/>
  <c r="M136"/>
  <c r="M152"/>
  <c r="M11"/>
  <c r="M27"/>
  <c r="L98"/>
  <c r="L114"/>
  <c r="L130"/>
  <c r="L146"/>
  <c r="L75"/>
  <c r="L59"/>
  <c r="L45"/>
  <c r="L33"/>
  <c r="L17"/>
  <c r="L1"/>
  <c r="H13"/>
  <c r="F12"/>
  <c r="E20"/>
  <c r="B35"/>
  <c r="H27"/>
  <c r="I10"/>
  <c r="H1"/>
  <c r="G28"/>
  <c r="F2"/>
  <c r="C24"/>
  <c r="E15"/>
  <c r="C27"/>
  <c r="B25"/>
  <c r="D2"/>
  <c r="H26"/>
  <c r="I22"/>
  <c r="H7"/>
  <c r="G33"/>
  <c r="G19"/>
  <c r="F21"/>
  <c r="E13"/>
  <c r="B7"/>
  <c r="D10"/>
  <c r="D17"/>
  <c r="D20"/>
  <c r="D19"/>
  <c r="E35"/>
  <c r="H34"/>
  <c r="I17"/>
  <c r="I3"/>
  <c r="H18"/>
  <c r="G14"/>
  <c r="F26"/>
  <c r="F7"/>
  <c r="B4"/>
  <c r="E8"/>
  <c r="C29"/>
  <c r="E34"/>
  <c r="B22"/>
  <c r="B8"/>
  <c r="D1"/>
  <c r="B10"/>
  <c r="B5"/>
  <c r="D25"/>
  <c r="D17" i="4"/>
  <c r="D11"/>
  <c r="B8"/>
  <c r="B24"/>
  <c r="C19" i="3"/>
  <c r="C3"/>
  <c r="B13"/>
  <c r="G10" i="2"/>
  <c r="G26"/>
  <c r="G42"/>
  <c r="F18"/>
  <c r="F34"/>
  <c r="E9"/>
  <c r="E25"/>
  <c r="E41"/>
  <c r="D16"/>
  <c r="D32"/>
  <c r="C7"/>
  <c r="C23"/>
  <c r="C39"/>
  <c r="B14"/>
  <c r="B30"/>
  <c r="O37" i="1"/>
  <c r="O16"/>
  <c r="O32"/>
  <c r="N27"/>
  <c r="N16"/>
  <c r="M36"/>
  <c r="M52"/>
  <c r="M68"/>
  <c r="M84"/>
  <c r="M100"/>
  <c r="M116"/>
  <c r="M132"/>
  <c r="M148"/>
  <c r="M7"/>
  <c r="M23"/>
  <c r="L94"/>
  <c r="L110"/>
  <c r="L126"/>
  <c r="L142"/>
  <c r="L71"/>
  <c r="L87"/>
  <c r="L56"/>
  <c r="L35"/>
  <c r="L21"/>
  <c r="L4"/>
  <c r="I2"/>
  <c r="G2"/>
  <c r="D21"/>
  <c r="E14"/>
  <c r="B1"/>
  <c r="I19"/>
  <c r="H12"/>
  <c r="G16"/>
  <c r="F15"/>
  <c r="C33"/>
  <c r="D30"/>
  <c r="D7"/>
  <c r="C26"/>
  <c r="C32"/>
  <c r="H29"/>
  <c r="I18"/>
  <c r="I4"/>
  <c r="H23"/>
  <c r="G15"/>
  <c r="F27"/>
  <c r="F6"/>
  <c r="B17"/>
  <c r="E12"/>
  <c r="E7"/>
  <c r="D3"/>
  <c r="B27"/>
  <c r="B3"/>
  <c r="E1"/>
  <c r="I32"/>
  <c r="I12"/>
  <c r="H14"/>
  <c r="G6"/>
  <c r="G30"/>
  <c r="F13"/>
  <c r="D15"/>
  <c r="B36"/>
  <c r="C13"/>
  <c r="D8"/>
  <c r="C35"/>
  <c r="C3"/>
  <c r="B23"/>
  <c r="E27"/>
  <c r="C31"/>
  <c r="C25"/>
  <c r="C14"/>
  <c r="E36"/>
  <c r="B30"/>
  <c r="C23"/>
  <c r="G18"/>
  <c r="E9"/>
  <c r="D4"/>
  <c r="E23"/>
  <c r="D35"/>
  <c r="I3" i="2"/>
  <c r="I7"/>
  <c r="I11"/>
  <c r="I15"/>
  <c r="I19"/>
  <c r="I23"/>
  <c r="I27"/>
  <c r="I31"/>
  <c r="I35"/>
  <c r="I39"/>
  <c r="I2"/>
  <c r="H8"/>
  <c r="H12"/>
  <c r="H16"/>
  <c r="H4"/>
  <c r="H19"/>
  <c r="H21"/>
  <c r="H23"/>
  <c r="H25"/>
  <c r="H27"/>
  <c r="H29"/>
  <c r="H31"/>
  <c r="H33"/>
  <c r="H35"/>
  <c r="H37"/>
  <c r="H39"/>
  <c r="H41"/>
  <c r="Q10" i="1"/>
  <c r="Q5"/>
  <c r="P36"/>
  <c r="P33"/>
  <c r="P28"/>
  <c r="P23"/>
  <c r="P19"/>
  <c r="P13"/>
  <c r="P6"/>
  <c r="P10"/>
  <c r="P2"/>
  <c r="K29"/>
  <c r="K33"/>
  <c r="K37"/>
  <c r="K24"/>
  <c r="K16"/>
  <c r="K20"/>
  <c r="K5"/>
  <c r="K9"/>
  <c r="K13"/>
  <c r="J14"/>
  <c r="J10"/>
  <c r="J6"/>
  <c r="J2"/>
  <c r="I6" i="2"/>
  <c r="I10"/>
  <c r="I14"/>
  <c r="I18"/>
  <c r="I22"/>
  <c r="I26"/>
  <c r="I30"/>
  <c r="I34"/>
  <c r="I38"/>
  <c r="I42"/>
  <c r="H7"/>
  <c r="H11"/>
  <c r="H15"/>
  <c r="H3"/>
  <c r="Q9" i="1"/>
  <c r="Q4"/>
  <c r="P35"/>
  <c r="P32"/>
  <c r="P27"/>
  <c r="P22"/>
  <c r="P18"/>
  <c r="P12"/>
  <c r="P16"/>
  <c r="P9"/>
  <c r="P5"/>
  <c r="K28"/>
  <c r="K32"/>
  <c r="K36"/>
  <c r="K23"/>
  <c r="K15"/>
  <c r="K19"/>
  <c r="K4"/>
  <c r="K8"/>
  <c r="K12"/>
  <c r="J15"/>
  <c r="J11"/>
  <c r="J7"/>
  <c r="J3"/>
  <c r="J1"/>
  <c r="I5" i="2"/>
  <c r="I9"/>
  <c r="I13"/>
  <c r="I17"/>
  <c r="I21"/>
  <c r="I25"/>
  <c r="I29"/>
  <c r="I33"/>
  <c r="I37"/>
  <c r="I41"/>
  <c r="H6"/>
  <c r="H10"/>
  <c r="H14"/>
  <c r="H18"/>
  <c r="H20"/>
  <c r="H22"/>
  <c r="H24"/>
  <c r="H26"/>
  <c r="H28"/>
  <c r="H30"/>
  <c r="H32"/>
  <c r="H34"/>
  <c r="H36"/>
  <c r="H38"/>
  <c r="H40"/>
  <c r="H42"/>
  <c r="Q8" i="1"/>
  <c r="Q3"/>
  <c r="Q2"/>
  <c r="P34"/>
  <c r="P31"/>
  <c r="P26"/>
  <c r="P21"/>
  <c r="P17"/>
  <c r="P11"/>
  <c r="P15"/>
  <c r="P8"/>
  <c r="P4"/>
  <c r="K27"/>
  <c r="K31"/>
  <c r="K35"/>
  <c r="K22"/>
  <c r="K26"/>
  <c r="K18"/>
  <c r="K3"/>
  <c r="K7"/>
  <c r="K11"/>
  <c r="K1"/>
  <c r="J12"/>
  <c r="J8"/>
  <c r="J4"/>
  <c r="I4" i="2"/>
  <c r="I8"/>
  <c r="I12"/>
  <c r="I16"/>
  <c r="I20"/>
  <c r="I24"/>
  <c r="I28"/>
  <c r="I32"/>
  <c r="I36"/>
  <c r="I40"/>
  <c r="H5"/>
  <c r="H9"/>
  <c r="H13"/>
  <c r="H17"/>
  <c r="Q7" i="1"/>
  <c r="Q11"/>
  <c r="Q6"/>
  <c r="P37"/>
  <c r="P30"/>
  <c r="P25"/>
  <c r="P29"/>
  <c r="P24"/>
  <c r="P20"/>
  <c r="P14"/>
  <c r="P7"/>
  <c r="P3"/>
  <c r="K30"/>
  <c r="K34"/>
  <c r="K21"/>
  <c r="K25"/>
  <c r="K17"/>
  <c r="K2"/>
  <c r="K6"/>
  <c r="K10"/>
  <c r="K14"/>
  <c r="J13"/>
  <c r="J9"/>
  <c r="J5"/>
  <c r="C61" i="5" l="1"/>
  <c r="C36"/>
  <c r="C33"/>
  <c r="C24"/>
  <c r="C26" s="1"/>
  <c r="C25"/>
  <c r="C14"/>
  <c r="C6"/>
  <c r="C7" s="1"/>
  <c r="E11" i="4"/>
  <c r="E17"/>
  <c r="E21"/>
  <c r="E3"/>
  <c r="E27"/>
  <c r="E7"/>
  <c r="E13"/>
  <c r="E10"/>
  <c r="E6"/>
  <c r="E24"/>
  <c r="E20"/>
  <c r="E16"/>
  <c r="E12"/>
  <c r="E8"/>
  <c r="E4"/>
  <c r="E22"/>
  <c r="E18"/>
  <c r="E14"/>
  <c r="E26"/>
  <c r="E9"/>
  <c r="E5"/>
  <c r="E23"/>
  <c r="E19"/>
  <c r="E15"/>
  <c r="E25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33"/>
  <c r="C32"/>
  <c r="C31"/>
  <c r="C30"/>
  <c r="C29"/>
  <c r="C34"/>
  <c r="C35"/>
  <c r="C37"/>
  <c r="C36"/>
  <c r="C62" i="5" l="1"/>
  <c r="C63"/>
  <c r="C37"/>
  <c r="C27"/>
  <c r="C28" s="1"/>
  <c r="C15"/>
  <c r="C8"/>
  <c r="C64" l="1"/>
  <c r="C65"/>
  <c r="C38"/>
  <c r="C29"/>
  <c r="C30" s="1"/>
  <c r="C16"/>
  <c r="C17" s="1"/>
  <c r="C10"/>
  <c r="C9"/>
  <c r="C11"/>
  <c r="C66" l="1"/>
  <c r="C67"/>
  <c r="C39"/>
  <c r="C19"/>
  <c r="C20" s="1"/>
  <c r="C18"/>
  <c r="C21" s="1"/>
  <c r="C68" l="1"/>
  <c r="C69"/>
  <c r="C40"/>
  <c r="C70" l="1"/>
  <c r="C71"/>
  <c r="C72"/>
  <c r="C41"/>
  <c r="C43"/>
  <c r="C42"/>
  <c r="C73" l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C202" s="1"/>
  <c r="C203" s="1"/>
  <c r="C204" s="1"/>
  <c r="C205" s="1"/>
  <c r="C206" s="1"/>
  <c r="C207" s="1"/>
  <c r="C208" s="1"/>
  <c r="C209" s="1"/>
  <c r="C210" s="1"/>
  <c r="C211" s="1"/>
  <c r="C212" s="1"/>
  <c r="C213" s="1"/>
  <c r="C214" s="1"/>
  <c r="C215" s="1"/>
  <c r="C216" s="1"/>
  <c r="C217" s="1"/>
  <c r="C218" s="1"/>
  <c r="C219" s="1"/>
  <c r="C220" s="1"/>
  <c r="C221" s="1"/>
  <c r="C222" s="1"/>
  <c r="C223" s="1"/>
  <c r="C224" s="1"/>
  <c r="C225" s="1"/>
  <c r="C226" s="1"/>
  <c r="C227" s="1"/>
  <c r="C228" s="1"/>
  <c r="C229" s="1"/>
  <c r="C230" s="1"/>
  <c r="C231" s="1"/>
  <c r="C232" s="1"/>
  <c r="C233" s="1"/>
  <c r="C234" s="1"/>
  <c r="C235" s="1"/>
  <c r="C236" s="1"/>
  <c r="C237" s="1"/>
  <c r="C238" s="1"/>
  <c r="C239" s="1"/>
  <c r="C240" s="1"/>
  <c r="C241" s="1"/>
  <c r="C242" s="1"/>
  <c r="C243" s="1"/>
  <c r="C244" s="1"/>
  <c r="C245" s="1"/>
  <c r="C246" s="1"/>
  <c r="C247" s="1"/>
  <c r="C248" s="1"/>
  <c r="C249" s="1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C268" s="1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C321" s="1"/>
  <c r="C322" s="1"/>
  <c r="C323" s="1"/>
  <c r="C324" s="1"/>
  <c r="C325" s="1"/>
  <c r="C326" s="1"/>
  <c r="C327" s="1"/>
  <c r="C328" s="1"/>
  <c r="C329" s="1"/>
  <c r="C330" s="1"/>
  <c r="C331" s="1"/>
  <c r="C332" s="1"/>
  <c r="C333" s="1"/>
  <c r="C334" s="1"/>
  <c r="C335" s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C357" s="1"/>
  <c r="C358" s="1"/>
  <c r="C359" s="1"/>
  <c r="C360" s="1"/>
  <c r="C361" s="1"/>
  <c r="C362" s="1"/>
  <c r="C363" s="1"/>
  <c r="C364" s="1"/>
  <c r="C365" s="1"/>
  <c r="C366" s="1"/>
  <c r="C367" s="1"/>
  <c r="C368" s="1"/>
  <c r="C369" s="1"/>
  <c r="C370" s="1"/>
  <c r="C371" s="1"/>
  <c r="C372" s="1"/>
  <c r="C373" s="1"/>
  <c r="C374" s="1"/>
  <c r="C375" s="1"/>
  <c r="C376" s="1"/>
  <c r="C377" s="1"/>
  <c r="C378" s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s="1"/>
  <c r="C402" s="1"/>
  <c r="C403" s="1"/>
  <c r="C404" s="1"/>
  <c r="C405" s="1"/>
  <c r="C406" s="1"/>
  <c r="C407" s="1"/>
  <c r="C408" s="1"/>
  <c r="C409" s="1"/>
  <c r="C410" s="1"/>
  <c r="C411" s="1"/>
  <c r="C412" s="1"/>
  <c r="C413" s="1"/>
  <c r="C414" s="1"/>
  <c r="C415" s="1"/>
  <c r="C416" s="1"/>
  <c r="C417" s="1"/>
  <c r="C418" s="1"/>
  <c r="C419" s="1"/>
  <c r="C420" s="1"/>
  <c r="C421" s="1"/>
  <c r="C422" s="1"/>
  <c r="C423" s="1"/>
  <c r="C424" s="1"/>
  <c r="C425" s="1"/>
  <c r="C426" s="1"/>
  <c r="C427" s="1"/>
  <c r="C428" s="1"/>
  <c r="C429" s="1"/>
  <c r="C430" s="1"/>
  <c r="C431" s="1"/>
  <c r="C432" s="1"/>
  <c r="C433" s="1"/>
  <c r="C434" s="1"/>
  <c r="C435" s="1"/>
  <c r="C436" s="1"/>
  <c r="C437" s="1"/>
  <c r="C438" s="1"/>
  <c r="C439" s="1"/>
  <c r="C440" s="1"/>
  <c r="C441" s="1"/>
  <c r="C442" s="1"/>
  <c r="C443" s="1"/>
  <c r="C444" s="1"/>
  <c r="C445" s="1"/>
  <c r="C446" s="1"/>
  <c r="C447" s="1"/>
  <c r="C448" s="1"/>
  <c r="C449" s="1"/>
  <c r="C450" s="1"/>
  <c r="C451" s="1"/>
  <c r="C452" s="1"/>
  <c r="C453" s="1"/>
  <c r="C454" s="1"/>
  <c r="C455" s="1"/>
  <c r="C456" s="1"/>
  <c r="C457" s="1"/>
  <c r="C458" s="1"/>
  <c r="C459" s="1"/>
  <c r="C460" s="1"/>
  <c r="C461" s="1"/>
  <c r="C462" s="1"/>
  <c r="C463" s="1"/>
  <c r="C464" s="1"/>
  <c r="C465" s="1"/>
  <c r="C466" s="1"/>
  <c r="C467" s="1"/>
  <c r="C468" s="1"/>
  <c r="C469" s="1"/>
  <c r="C470" s="1"/>
  <c r="C471" s="1"/>
  <c r="C472" s="1"/>
  <c r="C473" s="1"/>
  <c r="C474" s="1"/>
  <c r="C475" s="1"/>
  <c r="C476" s="1"/>
  <c r="C477" s="1"/>
  <c r="C478" s="1"/>
  <c r="C479" s="1"/>
  <c r="C480" s="1"/>
  <c r="C481" s="1"/>
  <c r="C482" s="1"/>
  <c r="C483" s="1"/>
  <c r="C484" s="1"/>
  <c r="C485" s="1"/>
  <c r="C486" s="1"/>
  <c r="C487" s="1"/>
  <c r="C488" s="1"/>
  <c r="C489" s="1"/>
  <c r="C490" s="1"/>
  <c r="C491" s="1"/>
  <c r="C492" s="1"/>
  <c r="C493" s="1"/>
  <c r="C494" s="1"/>
  <c r="C495" s="1"/>
  <c r="C496" s="1"/>
  <c r="C497" s="1"/>
  <c r="C498" s="1"/>
  <c r="C499" s="1"/>
  <c r="C500" s="1"/>
  <c r="C501" s="1"/>
  <c r="C502" s="1"/>
  <c r="C503" s="1"/>
  <c r="C504" s="1"/>
  <c r="C505" s="1"/>
  <c r="C506" s="1"/>
  <c r="C507" s="1"/>
  <c r="C508" s="1"/>
  <c r="C509" s="1"/>
  <c r="C510" s="1"/>
  <c r="C511" s="1"/>
  <c r="C512" s="1"/>
  <c r="C513" s="1"/>
  <c r="C514" s="1"/>
  <c r="C515" s="1"/>
  <c r="C516" s="1"/>
  <c r="C517" s="1"/>
  <c r="C518" s="1"/>
  <c r="C519" s="1"/>
  <c r="C520" s="1"/>
  <c r="C521" s="1"/>
  <c r="C522" s="1"/>
  <c r="C523" s="1"/>
  <c r="C524" s="1"/>
  <c r="C525" s="1"/>
  <c r="C526" s="1"/>
  <c r="C527" s="1"/>
  <c r="C528" s="1"/>
  <c r="C529" s="1"/>
  <c r="C530" s="1"/>
  <c r="C531" s="1"/>
  <c r="C532" s="1"/>
  <c r="C533" s="1"/>
  <c r="C534" s="1"/>
  <c r="C535" s="1"/>
  <c r="C536" s="1"/>
  <c r="C537" s="1"/>
  <c r="C538" s="1"/>
  <c r="C539" s="1"/>
  <c r="C540" s="1"/>
  <c r="C541" s="1"/>
  <c r="C542" s="1"/>
  <c r="C543" s="1"/>
  <c r="C544" s="1"/>
  <c r="C545" s="1"/>
  <c r="C546" s="1"/>
  <c r="C547" s="1"/>
  <c r="C548" s="1"/>
  <c r="C549" s="1"/>
  <c r="C550" s="1"/>
  <c r="C551" s="1"/>
  <c r="C552" s="1"/>
  <c r="C553" s="1"/>
  <c r="C554" s="1"/>
  <c r="C555" s="1"/>
  <c r="C556" s="1"/>
  <c r="C557" s="1"/>
  <c r="C558" s="1"/>
  <c r="C559" s="1"/>
  <c r="C560" s="1"/>
  <c r="C561" s="1"/>
  <c r="C562" s="1"/>
  <c r="C563" s="1"/>
  <c r="C564" s="1"/>
  <c r="C565" s="1"/>
  <c r="C566" s="1"/>
  <c r="C567" s="1"/>
  <c r="C568" s="1"/>
  <c r="C569" s="1"/>
  <c r="C570" s="1"/>
  <c r="C571" s="1"/>
  <c r="C572" s="1"/>
  <c r="C573" s="1"/>
  <c r="C574" s="1"/>
  <c r="C575" s="1"/>
  <c r="C576" s="1"/>
  <c r="C577" s="1"/>
  <c r="C578" s="1"/>
  <c r="C579" s="1"/>
  <c r="C580" s="1"/>
  <c r="C581" s="1"/>
  <c r="C582" s="1"/>
  <c r="C583" s="1"/>
  <c r="C584" s="1"/>
  <c r="C585" s="1"/>
  <c r="C586" s="1"/>
  <c r="C587" s="1"/>
  <c r="C588" s="1"/>
  <c r="C589" s="1"/>
  <c r="C590" s="1"/>
  <c r="C591" s="1"/>
  <c r="C592" s="1"/>
  <c r="C593" s="1"/>
  <c r="C594" s="1"/>
  <c r="C595" s="1"/>
  <c r="C596" s="1"/>
  <c r="C597" s="1"/>
  <c r="C598" s="1"/>
  <c r="C599" s="1"/>
  <c r="C600" s="1"/>
  <c r="C601" s="1"/>
  <c r="C602" s="1"/>
  <c r="C603" s="1"/>
  <c r="C604" s="1"/>
  <c r="C605" s="1"/>
  <c r="C606" s="1"/>
  <c r="C607" s="1"/>
  <c r="C608" s="1"/>
  <c r="C609" s="1"/>
  <c r="C610" s="1"/>
  <c r="C611" s="1"/>
  <c r="C612" s="1"/>
  <c r="C613" s="1"/>
  <c r="C614" s="1"/>
  <c r="C615" s="1"/>
  <c r="C616" s="1"/>
  <c r="C617" s="1"/>
  <c r="C618" s="1"/>
  <c r="C619" s="1"/>
  <c r="C620" s="1"/>
  <c r="C621" s="1"/>
  <c r="C622" s="1"/>
  <c r="C623" s="1"/>
  <c r="C624" s="1"/>
  <c r="C625" s="1"/>
  <c r="C626" s="1"/>
  <c r="C627" s="1"/>
  <c r="C628" s="1"/>
  <c r="C629" s="1"/>
  <c r="C630" s="1"/>
  <c r="C631" s="1"/>
  <c r="C632" s="1"/>
  <c r="C633" s="1"/>
  <c r="C634" s="1"/>
  <c r="C635" s="1"/>
  <c r="C636" s="1"/>
  <c r="C637" s="1"/>
  <c r="C638" s="1"/>
  <c r="C639" s="1"/>
  <c r="C640" s="1"/>
  <c r="C641" s="1"/>
  <c r="C642" s="1"/>
  <c r="C643" s="1"/>
  <c r="C644" s="1"/>
  <c r="C645" s="1"/>
  <c r="C646" s="1"/>
  <c r="C647" s="1"/>
  <c r="C648" s="1"/>
  <c r="C649" s="1"/>
  <c r="C650" s="1"/>
  <c r="C651" s="1"/>
  <c r="C652" s="1"/>
  <c r="C653" s="1"/>
  <c r="C654" s="1"/>
  <c r="C655" s="1"/>
  <c r="C656" s="1"/>
  <c r="C657" s="1"/>
  <c r="C658" s="1"/>
  <c r="C659" s="1"/>
  <c r="C660" s="1"/>
  <c r="C661" s="1"/>
  <c r="C662" s="1"/>
  <c r="C663" s="1"/>
  <c r="C664" s="1"/>
  <c r="C665" s="1"/>
  <c r="C666" s="1"/>
  <c r="C667" s="1"/>
  <c r="C668" s="1"/>
  <c r="C669" s="1"/>
  <c r="C670" s="1"/>
  <c r="C671" s="1"/>
  <c r="C672" s="1"/>
  <c r="C673" s="1"/>
  <c r="C674" s="1"/>
  <c r="C675" s="1"/>
  <c r="C676" s="1"/>
  <c r="C677" s="1"/>
  <c r="C678" s="1"/>
  <c r="C679" s="1"/>
  <c r="C680" s="1"/>
  <c r="C681" s="1"/>
  <c r="C682" s="1"/>
  <c r="C683" s="1"/>
  <c r="C684" s="1"/>
  <c r="C685" s="1"/>
  <c r="C686" s="1"/>
  <c r="C687" s="1"/>
  <c r="C688" s="1"/>
  <c r="C689" s="1"/>
  <c r="C690" s="1"/>
  <c r="C691" s="1"/>
  <c r="C692" s="1"/>
  <c r="C693" s="1"/>
  <c r="C694" s="1"/>
  <c r="C695" s="1"/>
  <c r="C696" s="1"/>
  <c r="C697" s="1"/>
  <c r="C698" s="1"/>
  <c r="C699" s="1"/>
  <c r="C700" s="1"/>
  <c r="C701" s="1"/>
  <c r="C702" s="1"/>
  <c r="C703" s="1"/>
  <c r="C704" s="1"/>
  <c r="C705" s="1"/>
  <c r="C706" s="1"/>
  <c r="C707" s="1"/>
  <c r="C708" s="1"/>
  <c r="C709" s="1"/>
  <c r="C710" s="1"/>
  <c r="C711" s="1"/>
  <c r="C712" s="1"/>
  <c r="C713" s="1"/>
  <c r="C714" s="1"/>
  <c r="C715" s="1"/>
  <c r="C716" s="1"/>
  <c r="C717" s="1"/>
  <c r="C718" s="1"/>
  <c r="C719" s="1"/>
  <c r="C720" s="1"/>
  <c r="C721" s="1"/>
  <c r="C722" s="1"/>
  <c r="C723" s="1"/>
  <c r="C724" s="1"/>
  <c r="C725" s="1"/>
  <c r="C726" s="1"/>
  <c r="C727" s="1"/>
  <c r="C728" s="1"/>
  <c r="C729" s="1"/>
  <c r="C730" s="1"/>
  <c r="C731" s="1"/>
  <c r="C732" s="1"/>
  <c r="C733" s="1"/>
  <c r="C734" s="1"/>
  <c r="C735" s="1"/>
  <c r="C736" s="1"/>
  <c r="C737" s="1"/>
  <c r="C738" s="1"/>
  <c r="C739" s="1"/>
  <c r="C740" s="1"/>
  <c r="C741" s="1"/>
  <c r="C742" s="1"/>
  <c r="C743" s="1"/>
  <c r="C744" s="1"/>
  <c r="C745" s="1"/>
  <c r="C746" s="1"/>
  <c r="C747" s="1"/>
  <c r="C748" s="1"/>
  <c r="C749" s="1"/>
  <c r="C750" s="1"/>
  <c r="C751" s="1"/>
  <c r="C752" s="1"/>
  <c r="C753" s="1"/>
  <c r="C754" s="1"/>
  <c r="C755" s="1"/>
  <c r="C756" s="1"/>
  <c r="C757" s="1"/>
  <c r="C758" s="1"/>
  <c r="C759" s="1"/>
  <c r="C760" s="1"/>
  <c r="C761" s="1"/>
  <c r="C762" s="1"/>
  <c r="C763" s="1"/>
  <c r="C764" s="1"/>
  <c r="C765" s="1"/>
  <c r="C766" s="1"/>
  <c r="C767" s="1"/>
  <c r="C768" s="1"/>
  <c r="C769" s="1"/>
  <c r="C770" s="1"/>
  <c r="C771" s="1"/>
  <c r="C772" s="1"/>
  <c r="C773" s="1"/>
  <c r="C774" s="1"/>
  <c r="C775" s="1"/>
  <c r="C776" s="1"/>
  <c r="C777" s="1"/>
  <c r="C778" s="1"/>
  <c r="C779" s="1"/>
  <c r="C780" s="1"/>
  <c r="C781" s="1"/>
  <c r="C782" s="1"/>
  <c r="C783" s="1"/>
  <c r="C784" s="1"/>
  <c r="C785" s="1"/>
  <c r="C786" s="1"/>
  <c r="C787" s="1"/>
  <c r="C788" s="1"/>
  <c r="C789" s="1"/>
  <c r="C790" s="1"/>
  <c r="C791" s="1"/>
  <c r="C792" s="1"/>
  <c r="C793" s="1"/>
  <c r="C794" s="1"/>
  <c r="C795" s="1"/>
  <c r="C796" s="1"/>
  <c r="C797" s="1"/>
  <c r="C798" s="1"/>
  <c r="C799" s="1"/>
  <c r="C800" s="1"/>
  <c r="C801" s="1"/>
  <c r="C802" s="1"/>
  <c r="C803" s="1"/>
  <c r="C804" s="1"/>
  <c r="C805" s="1"/>
  <c r="C806" s="1"/>
  <c r="C807" s="1"/>
  <c r="C808" s="1"/>
  <c r="C809" s="1"/>
  <c r="C810" s="1"/>
  <c r="C811" s="1"/>
  <c r="C812" s="1"/>
  <c r="C813" s="1"/>
  <c r="C814" s="1"/>
  <c r="C815" s="1"/>
  <c r="C816" s="1"/>
  <c r="C817" s="1"/>
  <c r="C818" s="1"/>
  <c r="C819" s="1"/>
  <c r="C820" s="1"/>
  <c r="C821" s="1"/>
  <c r="C822" s="1"/>
  <c r="C823" s="1"/>
  <c r="C824" s="1"/>
  <c r="C825" s="1"/>
  <c r="C826" s="1"/>
  <c r="C827" s="1"/>
  <c r="C828" s="1"/>
  <c r="C829" s="1"/>
  <c r="C830" s="1"/>
  <c r="C831" s="1"/>
  <c r="C832" s="1"/>
  <c r="C833" s="1"/>
  <c r="C834" s="1"/>
  <c r="C835" s="1"/>
  <c r="C836" s="1"/>
  <c r="C837" s="1"/>
  <c r="C838" s="1"/>
  <c r="C839" s="1"/>
  <c r="C840" s="1"/>
  <c r="C841" s="1"/>
  <c r="C842" s="1"/>
  <c r="C843" s="1"/>
  <c r="C844" s="1"/>
  <c r="C845" s="1"/>
  <c r="C846" s="1"/>
  <c r="C847" s="1"/>
  <c r="C848" s="1"/>
  <c r="C849" s="1"/>
  <c r="C850" s="1"/>
  <c r="C851" s="1"/>
  <c r="C852" s="1"/>
  <c r="C853" s="1"/>
  <c r="C854" s="1"/>
  <c r="C855" s="1"/>
  <c r="C856" s="1"/>
  <c r="C857" s="1"/>
  <c r="C858" s="1"/>
  <c r="C859" s="1"/>
  <c r="C860" s="1"/>
  <c r="C861" s="1"/>
  <c r="C862" s="1"/>
  <c r="C863" s="1"/>
  <c r="C864" s="1"/>
  <c r="C865" s="1"/>
  <c r="C866" s="1"/>
  <c r="C867" s="1"/>
  <c r="C868" s="1"/>
  <c r="C869" s="1"/>
  <c r="C870" s="1"/>
  <c r="C871" s="1"/>
  <c r="C872" s="1"/>
  <c r="C873" s="1"/>
  <c r="C874" s="1"/>
  <c r="C875" s="1"/>
  <c r="C876" s="1"/>
  <c r="C877" s="1"/>
  <c r="C878" s="1"/>
  <c r="C879" s="1"/>
  <c r="C880" s="1"/>
  <c r="C881" s="1"/>
  <c r="C882" s="1"/>
  <c r="C883" s="1"/>
  <c r="C884" s="1"/>
  <c r="C885" s="1"/>
  <c r="C886" s="1"/>
  <c r="C887" s="1"/>
  <c r="C888" s="1"/>
  <c r="C889" s="1"/>
  <c r="C890" s="1"/>
  <c r="C891" s="1"/>
  <c r="C892" s="1"/>
  <c r="C893" s="1"/>
  <c r="C894" s="1"/>
  <c r="C895" s="1"/>
  <c r="C896" s="1"/>
  <c r="C897" s="1"/>
  <c r="C898" s="1"/>
  <c r="C899" s="1"/>
  <c r="C900" s="1"/>
  <c r="C901" s="1"/>
  <c r="C902" s="1"/>
  <c r="C903" s="1"/>
  <c r="C904" s="1"/>
  <c r="C905" s="1"/>
  <c r="C906" s="1"/>
  <c r="C907" s="1"/>
  <c r="C908" s="1"/>
  <c r="C909" s="1"/>
  <c r="C910" s="1"/>
  <c r="C911" s="1"/>
  <c r="C912" s="1"/>
  <c r="C913" s="1"/>
  <c r="C914" s="1"/>
  <c r="C915" s="1"/>
  <c r="C916" s="1"/>
  <c r="C917" s="1"/>
  <c r="C918" s="1"/>
  <c r="C919" s="1"/>
  <c r="C920" s="1"/>
  <c r="C921" s="1"/>
  <c r="C922" s="1"/>
  <c r="C923" s="1"/>
  <c r="C924" s="1"/>
  <c r="C925" s="1"/>
  <c r="C926" s="1"/>
  <c r="C927" s="1"/>
  <c r="C928" s="1"/>
  <c r="C929" s="1"/>
  <c r="C930" s="1"/>
  <c r="C931" s="1"/>
  <c r="C932" s="1"/>
  <c r="C933" s="1"/>
  <c r="C934" s="1"/>
  <c r="C935" s="1"/>
  <c r="C936" s="1"/>
  <c r="C937" s="1"/>
  <c r="C938" s="1"/>
  <c r="C939" s="1"/>
  <c r="C940" s="1"/>
  <c r="C941" s="1"/>
  <c r="C942" s="1"/>
  <c r="C943" s="1"/>
  <c r="C944" s="1"/>
  <c r="C945" s="1"/>
  <c r="C946" s="1"/>
  <c r="C947" s="1"/>
  <c r="C948" s="1"/>
  <c r="C949" s="1"/>
  <c r="C950" s="1"/>
  <c r="C951" s="1"/>
  <c r="C952" s="1"/>
  <c r="C953" s="1"/>
  <c r="C954" s="1"/>
  <c r="C955" s="1"/>
  <c r="C956" s="1"/>
  <c r="C957" s="1"/>
  <c r="C958" s="1"/>
  <c r="C959" s="1"/>
  <c r="C960" s="1"/>
  <c r="C961" s="1"/>
  <c r="C962" s="1"/>
  <c r="C963" s="1"/>
  <c r="C964" s="1"/>
  <c r="C965" s="1"/>
  <c r="C966" s="1"/>
  <c r="C967" s="1"/>
  <c r="C968" s="1"/>
  <c r="C969" s="1"/>
  <c r="C970" s="1"/>
  <c r="C971" s="1"/>
  <c r="C972" s="1"/>
  <c r="C973" s="1"/>
  <c r="C974" s="1"/>
  <c r="C975" s="1"/>
  <c r="C976" s="1"/>
  <c r="C977" s="1"/>
  <c r="C978" s="1"/>
  <c r="C979" s="1"/>
  <c r="C980" s="1"/>
  <c r="C981" s="1"/>
  <c r="C982" s="1"/>
  <c r="C983" s="1"/>
  <c r="C984" s="1"/>
  <c r="C985" s="1"/>
  <c r="C986" s="1"/>
  <c r="C987" s="1"/>
  <c r="C988" s="1"/>
  <c r="C989" s="1"/>
  <c r="C990" s="1"/>
  <c r="C991" s="1"/>
  <c r="C992" s="1"/>
  <c r="C993" s="1"/>
  <c r="C994" s="1"/>
  <c r="C995" s="1"/>
  <c r="C996" s="1"/>
  <c r="C997" s="1"/>
  <c r="C998" s="1"/>
  <c r="C999" s="1"/>
  <c r="C1000" s="1"/>
  <c r="C44"/>
  <c r="C45" l="1"/>
  <c r="C46" s="1"/>
  <c r="C47" s="1"/>
  <c r="C48" s="1"/>
  <c r="C49" s="1"/>
  <c r="C50" s="1"/>
  <c r="C51" s="1"/>
  <c r="C52" s="1"/>
  <c r="C53" s="1"/>
  <c r="C54" s="1"/>
  <c r="C55" s="1"/>
  <c r="C56" s="1"/>
  <c r="C57" s="1"/>
</calcChain>
</file>

<file path=xl/sharedStrings.xml><?xml version="1.0" encoding="utf-8"?>
<sst xmlns="http://schemas.openxmlformats.org/spreadsheetml/2006/main" count="20" uniqueCount="16">
  <si>
    <t>Catalan</t>
  </si>
  <si>
    <t>Pell</t>
  </si>
  <si>
    <t>Lucas</t>
  </si>
  <si>
    <t>Motzkin</t>
  </si>
  <si>
    <t>Hofstader-Conway</t>
  </si>
  <si>
    <t>Q-Hofstader</t>
  </si>
  <si>
    <t>Mallows</t>
  </si>
  <si>
    <t>Shroeder</t>
  </si>
  <si>
    <t>-</t>
  </si>
  <si>
    <t>n</t>
  </si>
  <si>
    <t>liczba wywołań</t>
  </si>
  <si>
    <t>HofstadterConway</t>
  </si>
  <si>
    <t>countL(n)/countL(n-1)</t>
  </si>
  <si>
    <t>countL(n)</t>
  </si>
  <si>
    <t>countHC(n)/countHC(n-1)</t>
  </si>
  <si>
    <t>countHC(n)</t>
  </si>
</sst>
</file>

<file path=xl/styles.xml><?xml version="1.0" encoding="utf-8"?>
<styleSheet xmlns="http://schemas.openxmlformats.org/spreadsheetml/2006/main">
  <fonts count="1">
    <font>
      <sz val="11"/>
      <color theme="1"/>
      <name val="Czcionka tekstu podstawowego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5">
    <border>
      <left/>
      <right/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0" xfId="0" applyAlignment="1">
      <alignment horizontal="center" wrapText="1"/>
    </xf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smoothMarker"/>
        <c:ser>
          <c:idx val="0"/>
          <c:order val="0"/>
          <c:tx>
            <c:strRef>
              <c:f>Arkusz4!$C$1</c:f>
              <c:strCache>
                <c:ptCount val="1"/>
                <c:pt idx="0">
                  <c:v>countL(n)/countL(n-1)</c:v>
                </c:pt>
              </c:strCache>
            </c:strRef>
          </c:tx>
          <c:marker>
            <c:symbol val="none"/>
          </c:marker>
          <c:xVal>
            <c:numRef>
              <c:f>Arkusz4!$A$2:$A$1001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Arkusz4!$C$2:$C$1001</c:f>
              <c:numCache>
                <c:formatCode>General</c:formatCode>
                <c:ptCount val="1000"/>
                <c:pt idx="1">
                  <c:v>3</c:v>
                </c:pt>
                <c:pt idx="2">
                  <c:v>1.6666666666666667</c:v>
                </c:pt>
                <c:pt idx="3">
                  <c:v>1.8</c:v>
                </c:pt>
                <c:pt idx="4">
                  <c:v>1.6666666666666667</c:v>
                </c:pt>
                <c:pt idx="5">
                  <c:v>1.6666666666666667</c:v>
                </c:pt>
                <c:pt idx="6">
                  <c:v>1.64</c:v>
                </c:pt>
                <c:pt idx="7">
                  <c:v>1.6341463414634145</c:v>
                </c:pt>
                <c:pt idx="8">
                  <c:v>1.6268656716417911</c:v>
                </c:pt>
                <c:pt idx="9">
                  <c:v>1.6238532110091743</c:v>
                </c:pt>
                <c:pt idx="10">
                  <c:v>1.6214689265536724</c:v>
                </c:pt>
                <c:pt idx="11">
                  <c:v>1.6202090592334495</c:v>
                </c:pt>
                <c:pt idx="12">
                  <c:v>1.6193548387096774</c:v>
                </c:pt>
                <c:pt idx="13">
                  <c:v>1.6188579017264275</c:v>
                </c:pt>
                <c:pt idx="14">
                  <c:v>1.6185397867104183</c:v>
                </c:pt>
                <c:pt idx="15">
                  <c:v>1.6183476938672072</c:v>
                </c:pt>
                <c:pt idx="16">
                  <c:v>1.6182273723770748</c:v>
                </c:pt>
                <c:pt idx="17">
                  <c:v>1.6181536675053223</c:v>
                </c:pt>
                <c:pt idx="18">
                  <c:v>1.6181078818323167</c:v>
                </c:pt>
                <c:pt idx="19">
                  <c:v>1.6180796806859339</c:v>
                </c:pt>
                <c:pt idx="20">
                  <c:v>1.6180622173495958</c:v>
                </c:pt>
                <c:pt idx="21">
                  <c:v>1.6180514384122413</c:v>
                </c:pt>
                <c:pt idx="22">
                  <c:v>1.6180447716922861</c:v>
                </c:pt>
                <c:pt idx="23">
                  <c:v>1.6180406534749556</c:v>
                </c:pt>
                <c:pt idx="24">
                  <c:v>1.6180381075515331</c:v>
                </c:pt>
                <c:pt idx="25">
                  <c:v>1.6180365343822725</c:v>
                </c:pt>
                <c:pt idx="26">
                  <c:v>1.6180355620044038</c:v>
                </c:pt>
                <c:pt idx="27">
                  <c:v>1.6180349610853009</c:v>
                </c:pt>
                <c:pt idx="28">
                  <c:v>1.6180345896814354</c:v>
                </c:pt>
                <c:pt idx="29">
                  <c:v>1.6180343601475651</c:v>
                </c:pt>
                <c:pt idx="30">
                  <c:v>1.6180342182855798</c:v>
                </c:pt>
                <c:pt idx="31">
                  <c:v>1.6180341306109765</c:v>
                </c:pt>
                <c:pt idx="32">
                  <c:v>1.6180340764247629</c:v>
                </c:pt>
                <c:pt idx="33">
                  <c:v>1.6180340429359763</c:v>
                </c:pt>
                <c:pt idx="34">
                  <c:v>1.6180340222387202</c:v>
                </c:pt>
                <c:pt idx="35">
                  <c:v>1.6180340094471319</c:v>
                </c:pt>
              </c:numCache>
            </c:numRef>
          </c:yVal>
          <c:smooth val="1"/>
        </c:ser>
        <c:axId val="83773312"/>
        <c:axId val="83774848"/>
      </c:scatterChart>
      <c:valAx>
        <c:axId val="83773312"/>
        <c:scaling>
          <c:orientation val="minMax"/>
        </c:scaling>
        <c:axPos val="b"/>
        <c:numFmt formatCode="General" sourceLinked="1"/>
        <c:tickLblPos val="nextTo"/>
        <c:crossAx val="83774848"/>
        <c:crosses val="autoZero"/>
        <c:crossBetween val="midCat"/>
      </c:valAx>
      <c:valAx>
        <c:axId val="83774848"/>
        <c:scaling>
          <c:orientation val="minMax"/>
        </c:scaling>
        <c:axPos val="l"/>
        <c:majorGridlines/>
        <c:numFmt formatCode="General" sourceLinked="1"/>
        <c:tickLblPos val="nextTo"/>
        <c:crossAx val="837733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scatterChart>
        <c:scatterStyle val="smoothMarker"/>
        <c:ser>
          <c:idx val="0"/>
          <c:order val="0"/>
          <c:tx>
            <c:strRef>
              <c:f>Arkusz4!$E$1</c:f>
              <c:strCache>
                <c:ptCount val="1"/>
                <c:pt idx="0">
                  <c:v>countHC(n)/countHC(n-1)</c:v>
                </c:pt>
              </c:strCache>
            </c:strRef>
          </c:tx>
          <c:marker>
            <c:symbol val="none"/>
          </c:marker>
          <c:xVal>
            <c:numRef>
              <c:f>Arkusz4!$A$2:$A$27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</c:numCache>
            </c:numRef>
          </c:xVal>
          <c:yVal>
            <c:numRef>
              <c:f>Arkusz4!$E$2:$E$27</c:f>
              <c:numCache>
                <c:formatCode>General</c:formatCode>
                <c:ptCount val="26"/>
                <c:pt idx="1">
                  <c:v>1</c:v>
                </c:pt>
                <c:pt idx="2">
                  <c:v>5</c:v>
                </c:pt>
                <c:pt idx="3">
                  <c:v>2.6</c:v>
                </c:pt>
                <c:pt idx="4">
                  <c:v>2.5384615384615383</c:v>
                </c:pt>
                <c:pt idx="5">
                  <c:v>2.3333333333333335</c:v>
                </c:pt>
                <c:pt idx="6">
                  <c:v>2.2467532467532467</c:v>
                </c:pt>
                <c:pt idx="7">
                  <c:v>2.1560693641618496</c:v>
                </c:pt>
                <c:pt idx="8">
                  <c:v>2.1260053619302948</c:v>
                </c:pt>
                <c:pt idx="9">
                  <c:v>2.0844892812105926</c:v>
                </c:pt>
                <c:pt idx="10">
                  <c:v>2.0671506352087112</c:v>
                </c:pt>
                <c:pt idx="11">
                  <c:v>2.0605794556628623</c:v>
                </c:pt>
                <c:pt idx="12">
                  <c:v>2.0356483454054821</c:v>
                </c:pt>
                <c:pt idx="13">
                  <c:v>2.0314658480429779</c:v>
                </c:pt>
                <c:pt idx="14">
                  <c:v>2.0187862760586599</c:v>
                </c:pt>
                <c:pt idx="15">
                  <c:v>2.0127081880199382</c:v>
                </c:pt>
                <c:pt idx="16">
                  <c:v>2.0098640002028585</c:v>
                </c:pt>
                <c:pt idx="17">
                  <c:v>2.0066740963475409</c:v>
                </c:pt>
                <c:pt idx="18">
                  <c:v>2.005128291107539</c:v>
                </c:pt>
                <c:pt idx="19">
                  <c:v>2.0044013081636898</c:v>
                </c:pt>
                <c:pt idx="20">
                  <c:v>2.0040855530983719</c:v>
                </c:pt>
                <c:pt idx="21">
                  <c:v>2.0022623780963293</c:v>
                </c:pt>
                <c:pt idx="22">
                  <c:v>2.0020775026616908</c:v>
                </c:pt>
                <c:pt idx="23">
                  <c:v>2.001997263377254</c:v>
                </c:pt>
                <c:pt idx="24">
                  <c:v>2.0010548265683239</c:v>
                </c:pt>
                <c:pt idx="25">
                  <c:v>2.0010077543080125</c:v>
                </c:pt>
              </c:numCache>
            </c:numRef>
          </c:yVal>
          <c:smooth val="1"/>
        </c:ser>
        <c:axId val="83795328"/>
        <c:axId val="86193280"/>
      </c:scatterChart>
      <c:valAx>
        <c:axId val="83795328"/>
        <c:scaling>
          <c:orientation val="minMax"/>
        </c:scaling>
        <c:axPos val="b"/>
        <c:numFmt formatCode="General" sourceLinked="1"/>
        <c:tickLblPos val="nextTo"/>
        <c:crossAx val="86193280"/>
        <c:crosses val="autoZero"/>
        <c:crossBetween val="midCat"/>
      </c:valAx>
      <c:valAx>
        <c:axId val="86193280"/>
        <c:scaling>
          <c:orientation val="minMax"/>
        </c:scaling>
        <c:axPos val="l"/>
        <c:majorGridlines/>
        <c:numFmt formatCode="General" sourceLinked="1"/>
        <c:tickLblPos val="nextTo"/>
        <c:crossAx val="837953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0</xdr:row>
      <xdr:rowOff>76200</xdr:rowOff>
    </xdr:from>
    <xdr:to>
      <xdr:col>12</xdr:col>
      <xdr:colOff>466725</xdr:colOff>
      <xdr:row>15</xdr:row>
      <xdr:rowOff>104775</xdr:rowOff>
    </xdr:to>
    <xdr:graphicFrame macro="">
      <xdr:nvGraphicFramePr>
        <xdr:cNvPr id="6" name="Wykres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16</xdr:row>
      <xdr:rowOff>9525</xdr:rowOff>
    </xdr:from>
    <xdr:to>
      <xdr:col>13</xdr:col>
      <xdr:colOff>190500</xdr:colOff>
      <xdr:row>31</xdr:row>
      <xdr:rowOff>38100</xdr:rowOff>
    </xdr:to>
    <xdr:graphicFrame macro="">
      <xdr:nvGraphicFramePr>
        <xdr:cNvPr id="8" name="Wykres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Q158"/>
  <sheetViews>
    <sheetView topLeftCell="E1" workbookViewId="0">
      <selection activeCell="Q2" sqref="Q2"/>
    </sheetView>
  </sheetViews>
  <sheetFormatPr defaultRowHeight="14.25"/>
  <cols>
    <col min="2" max="2" width="19.5" customWidth="1"/>
    <col min="3" max="3" width="12.625" customWidth="1"/>
    <col min="4" max="5" width="10.375" customWidth="1"/>
    <col min="8" max="8" width="14.375" customWidth="1"/>
    <col min="9" max="9" width="13.5" customWidth="1"/>
    <col min="10" max="10" width="12.25" customWidth="1"/>
    <col min="11" max="11" width="14.25" customWidth="1"/>
    <col min="12" max="12" width="13.75" customWidth="1"/>
    <col min="13" max="13" width="15.875" customWidth="1"/>
    <col min="14" max="14" width="9.25" bestFit="1" customWidth="1"/>
  </cols>
  <sheetData>
    <row r="1" spans="1:17">
      <c r="A1">
        <v>0</v>
      </c>
      <c r="B1">
        <f>Pell(A1)</f>
        <v>0</v>
      </c>
      <c r="C1">
        <f>PellDer(A1)</f>
        <v>0</v>
      </c>
      <c r="D1">
        <f>Lucas(A1)</f>
        <v>2</v>
      </c>
      <c r="E1">
        <f>LucasDer(A1)</f>
        <v>2</v>
      </c>
      <c r="H1">
        <f>Motzkin(A1)</f>
        <v>1</v>
      </c>
      <c r="I1">
        <f>MotzkinDer(A1)</f>
        <v>1</v>
      </c>
      <c r="J1" t="e">
        <f t="shared" ref="J1:J15" ca="1" si="0">Shroedrer(A1)</f>
        <v>#NAME?</v>
      </c>
      <c r="K1" t="e">
        <f ca="1">ShroedrerDer(A1)</f>
        <v>#NAME?</v>
      </c>
      <c r="L1">
        <f>Catalan(A1)</f>
        <v>1</v>
      </c>
      <c r="M1">
        <f>CatalanDer(A1)</f>
        <v>1</v>
      </c>
    </row>
    <row r="2" spans="1:17">
      <c r="A2">
        <v>1</v>
      </c>
      <c r="B2">
        <f t="shared" ref="B2:B37" si="1">Pell(A2)</f>
        <v>1</v>
      </c>
      <c r="C2">
        <f t="shared" ref="C2:C37" si="2">PellDer(A2)</f>
        <v>1</v>
      </c>
      <c r="D2">
        <f t="shared" ref="D2:D37" si="3">Lucas(A2)</f>
        <v>1</v>
      </c>
      <c r="E2">
        <f t="shared" ref="E2:E37" si="4">LucasDer(A2)</f>
        <v>1</v>
      </c>
      <c r="F2">
        <f>HofstadterConway(A2)</f>
        <v>1</v>
      </c>
      <c r="G2">
        <f>HofstadterConwayDer(A2)</f>
        <v>1</v>
      </c>
      <c r="H2">
        <f t="shared" ref="H2:H37" si="5">Motzkin(A2)</f>
        <v>1</v>
      </c>
      <c r="I2">
        <f t="shared" ref="I2:I37" si="6">MotzkinDer(A2)</f>
        <v>1</v>
      </c>
      <c r="J2" t="e">
        <f t="shared" ca="1" si="0"/>
        <v>#NAME?</v>
      </c>
      <c r="K2" t="e">
        <f t="shared" ref="K2:K37" ca="1" si="7">ShroedrerDer(A2)</f>
        <v>#NAME?</v>
      </c>
      <c r="L2">
        <f t="shared" ref="L2:L6" si="8">Catalan(A2)</f>
        <v>2</v>
      </c>
      <c r="M2">
        <f t="shared" ref="M2:M65" si="9">CatalanDer(A2)</f>
        <v>2</v>
      </c>
      <c r="N2">
        <f>QHofstadter(A2)</f>
        <v>1</v>
      </c>
      <c r="O2">
        <f>QHofstadterDer(A2)</f>
        <v>1</v>
      </c>
      <c r="P2" t="e">
        <f ca="1">Mallow(A2)</f>
        <v>#NAME?</v>
      </c>
      <c r="Q2" t="e">
        <f ca="1">MallowDer(A2)</f>
        <v>#NAME?</v>
      </c>
    </row>
    <row r="3" spans="1:17">
      <c r="A3">
        <v>2</v>
      </c>
      <c r="B3">
        <f t="shared" si="1"/>
        <v>2</v>
      </c>
      <c r="C3">
        <f t="shared" si="2"/>
        <v>2</v>
      </c>
      <c r="D3">
        <f t="shared" si="3"/>
        <v>3</v>
      </c>
      <c r="E3">
        <f t="shared" si="4"/>
        <v>3</v>
      </c>
      <c r="F3">
        <f t="shared" ref="F3:F29" si="10">HofstadterConway(A3)</f>
        <v>1</v>
      </c>
      <c r="G3">
        <f t="shared" ref="G3:G22" si="11">HofstadterConwayDer(A3)</f>
        <v>1</v>
      </c>
      <c r="H3">
        <f t="shared" si="5"/>
        <v>2</v>
      </c>
      <c r="I3">
        <f t="shared" si="6"/>
        <v>2</v>
      </c>
      <c r="J3" t="e">
        <f t="shared" ca="1" si="0"/>
        <v>#NAME?</v>
      </c>
      <c r="K3" t="e">
        <f t="shared" ca="1" si="7"/>
        <v>#NAME?</v>
      </c>
      <c r="L3">
        <f t="shared" si="8"/>
        <v>5</v>
      </c>
      <c r="M3">
        <f t="shared" si="9"/>
        <v>5</v>
      </c>
      <c r="N3">
        <f t="shared" ref="N3:N29" si="12">QHofstadter(A3)</f>
        <v>1</v>
      </c>
      <c r="O3">
        <f t="shared" ref="O3:O6" si="13">QHofstadterDer(A3)</f>
        <v>1</v>
      </c>
      <c r="P3" t="e">
        <f t="shared" ref="P3:P36" ca="1" si="14">Mallow(A3)</f>
        <v>#NAME?</v>
      </c>
      <c r="Q3" t="e">
        <f t="shared" ref="Q3:Q11" ca="1" si="15">MallowDer(A3)</f>
        <v>#NAME?</v>
      </c>
    </row>
    <row r="4" spans="1:17">
      <c r="A4">
        <v>3</v>
      </c>
      <c r="B4">
        <f t="shared" si="1"/>
        <v>5</v>
      </c>
      <c r="C4">
        <f t="shared" si="2"/>
        <v>5</v>
      </c>
      <c r="D4">
        <f t="shared" si="3"/>
        <v>4</v>
      </c>
      <c r="E4">
        <f t="shared" si="4"/>
        <v>4</v>
      </c>
      <c r="F4">
        <f t="shared" si="10"/>
        <v>2</v>
      </c>
      <c r="G4">
        <f t="shared" si="11"/>
        <v>2</v>
      </c>
      <c r="H4">
        <f t="shared" si="5"/>
        <v>4</v>
      </c>
      <c r="I4">
        <f t="shared" si="6"/>
        <v>4</v>
      </c>
      <c r="J4" t="e">
        <f t="shared" ca="1" si="0"/>
        <v>#NAME?</v>
      </c>
      <c r="K4" t="e">
        <f t="shared" ca="1" si="7"/>
        <v>#NAME?</v>
      </c>
      <c r="L4">
        <f t="shared" si="8"/>
        <v>14</v>
      </c>
      <c r="M4">
        <f t="shared" si="9"/>
        <v>14</v>
      </c>
      <c r="N4">
        <f t="shared" si="12"/>
        <v>2</v>
      </c>
      <c r="O4">
        <f t="shared" si="13"/>
        <v>2</v>
      </c>
      <c r="P4" t="e">
        <f t="shared" ca="1" si="14"/>
        <v>#NAME?</v>
      </c>
      <c r="Q4" t="e">
        <f t="shared" ca="1" si="15"/>
        <v>#NAME?</v>
      </c>
    </row>
    <row r="5" spans="1:17">
      <c r="A5">
        <v>4</v>
      </c>
      <c r="B5">
        <f t="shared" si="1"/>
        <v>12</v>
      </c>
      <c r="C5">
        <f t="shared" si="2"/>
        <v>12</v>
      </c>
      <c r="D5">
        <f t="shared" si="3"/>
        <v>7</v>
      </c>
      <c r="E5">
        <f t="shared" si="4"/>
        <v>7</v>
      </c>
      <c r="F5">
        <f t="shared" si="10"/>
        <v>2</v>
      </c>
      <c r="G5">
        <f t="shared" si="11"/>
        <v>2</v>
      </c>
      <c r="H5">
        <f t="shared" si="5"/>
        <v>9</v>
      </c>
      <c r="I5">
        <f t="shared" si="6"/>
        <v>9</v>
      </c>
      <c r="J5" t="e">
        <f t="shared" ca="1" si="0"/>
        <v>#NAME?</v>
      </c>
      <c r="K5" t="e">
        <f t="shared" ca="1" si="7"/>
        <v>#NAME?</v>
      </c>
      <c r="L5">
        <f t="shared" si="8"/>
        <v>42</v>
      </c>
      <c r="M5">
        <f t="shared" si="9"/>
        <v>42</v>
      </c>
      <c r="N5">
        <f t="shared" si="12"/>
        <v>3</v>
      </c>
      <c r="O5">
        <f t="shared" si="13"/>
        <v>3</v>
      </c>
      <c r="P5" t="e">
        <f t="shared" ca="1" si="14"/>
        <v>#NAME?</v>
      </c>
      <c r="Q5" t="e">
        <f t="shared" ca="1" si="15"/>
        <v>#NAME?</v>
      </c>
    </row>
    <row r="6" spans="1:17">
      <c r="A6">
        <v>5</v>
      </c>
      <c r="B6">
        <f t="shared" si="1"/>
        <v>29</v>
      </c>
      <c r="C6">
        <f t="shared" si="2"/>
        <v>29</v>
      </c>
      <c r="D6">
        <f t="shared" si="3"/>
        <v>11</v>
      </c>
      <c r="E6">
        <f t="shared" si="4"/>
        <v>11</v>
      </c>
      <c r="F6">
        <f t="shared" si="10"/>
        <v>3</v>
      </c>
      <c r="G6">
        <f t="shared" si="11"/>
        <v>3</v>
      </c>
      <c r="H6">
        <f t="shared" si="5"/>
        <v>21</v>
      </c>
      <c r="I6">
        <f t="shared" si="6"/>
        <v>21</v>
      </c>
      <c r="J6" t="e">
        <f t="shared" ca="1" si="0"/>
        <v>#NAME?</v>
      </c>
      <c r="K6" t="e">
        <f t="shared" ca="1" si="7"/>
        <v>#NAME?</v>
      </c>
      <c r="L6">
        <f t="shared" si="8"/>
        <v>132</v>
      </c>
      <c r="M6">
        <f t="shared" si="9"/>
        <v>132</v>
      </c>
      <c r="N6">
        <f t="shared" si="12"/>
        <v>3</v>
      </c>
      <c r="O6">
        <f t="shared" si="13"/>
        <v>3</v>
      </c>
      <c r="P6" t="e">
        <f t="shared" ca="1" si="14"/>
        <v>#NAME?</v>
      </c>
      <c r="Q6" t="e">
        <f t="shared" ca="1" si="15"/>
        <v>#NAME?</v>
      </c>
    </row>
    <row r="7" spans="1:17">
      <c r="A7">
        <v>6</v>
      </c>
      <c r="B7">
        <f t="shared" si="1"/>
        <v>70</v>
      </c>
      <c r="C7">
        <f t="shared" si="2"/>
        <v>70</v>
      </c>
      <c r="D7">
        <f t="shared" si="3"/>
        <v>18</v>
      </c>
      <c r="E7">
        <f t="shared" si="4"/>
        <v>18</v>
      </c>
      <c r="F7">
        <f>HofstadterConway(A7)</f>
        <v>4</v>
      </c>
      <c r="G7">
        <f t="shared" si="11"/>
        <v>4</v>
      </c>
      <c r="H7">
        <f t="shared" si="5"/>
        <v>51</v>
      </c>
      <c r="I7">
        <f t="shared" si="6"/>
        <v>51</v>
      </c>
      <c r="J7" t="e">
        <f t="shared" ca="1" si="0"/>
        <v>#NAME?</v>
      </c>
      <c r="K7" t="e">
        <f t="shared" ca="1" si="7"/>
        <v>#NAME?</v>
      </c>
      <c r="L7">
        <f t="shared" ref="L7:L12" si="16">Catalan(A7)</f>
        <v>429</v>
      </c>
      <c r="M7">
        <f t="shared" si="9"/>
        <v>429</v>
      </c>
      <c r="N7">
        <f t="shared" si="12"/>
        <v>4</v>
      </c>
      <c r="O7">
        <f t="shared" ref="O7:O39" si="17">QHofstadterDer(A7)</f>
        <v>4</v>
      </c>
      <c r="P7" t="e">
        <f t="shared" ca="1" si="14"/>
        <v>#NAME?</v>
      </c>
      <c r="Q7" t="e">
        <f t="shared" ca="1" si="15"/>
        <v>#NAME?</v>
      </c>
    </row>
    <row r="8" spans="1:17">
      <c r="A8">
        <v>7</v>
      </c>
      <c r="B8">
        <f t="shared" si="1"/>
        <v>169</v>
      </c>
      <c r="C8">
        <f t="shared" si="2"/>
        <v>169</v>
      </c>
      <c r="D8">
        <f>Lucas(A8)</f>
        <v>29</v>
      </c>
      <c r="E8">
        <f t="shared" si="4"/>
        <v>29</v>
      </c>
      <c r="F8">
        <f t="shared" si="10"/>
        <v>4</v>
      </c>
      <c r="G8">
        <f t="shared" si="11"/>
        <v>4</v>
      </c>
      <c r="H8">
        <f t="shared" si="5"/>
        <v>127</v>
      </c>
      <c r="I8">
        <f t="shared" si="6"/>
        <v>127</v>
      </c>
      <c r="J8" t="e">
        <f t="shared" ca="1" si="0"/>
        <v>#NAME?</v>
      </c>
      <c r="K8" t="e">
        <f t="shared" ca="1" si="7"/>
        <v>#NAME?</v>
      </c>
      <c r="L8">
        <f t="shared" si="16"/>
        <v>1430</v>
      </c>
      <c r="M8">
        <f t="shared" si="9"/>
        <v>1430</v>
      </c>
      <c r="N8">
        <f t="shared" si="12"/>
        <v>5</v>
      </c>
      <c r="O8">
        <f t="shared" si="17"/>
        <v>5</v>
      </c>
      <c r="P8" t="e">
        <f t="shared" ca="1" si="14"/>
        <v>#NAME?</v>
      </c>
      <c r="Q8" t="e">
        <f t="shared" ca="1" si="15"/>
        <v>#NAME?</v>
      </c>
    </row>
    <row r="9" spans="1:17">
      <c r="A9">
        <v>8</v>
      </c>
      <c r="B9">
        <f t="shared" si="1"/>
        <v>408</v>
      </c>
      <c r="C9">
        <f t="shared" si="2"/>
        <v>408</v>
      </c>
      <c r="D9">
        <f t="shared" si="3"/>
        <v>47</v>
      </c>
      <c r="E9">
        <f t="shared" si="4"/>
        <v>47</v>
      </c>
      <c r="F9">
        <f>HofstadterConway(A9)</f>
        <v>4</v>
      </c>
      <c r="G9">
        <f t="shared" si="11"/>
        <v>4</v>
      </c>
      <c r="H9">
        <f t="shared" si="5"/>
        <v>323</v>
      </c>
      <c r="I9">
        <f t="shared" si="6"/>
        <v>323</v>
      </c>
      <c r="J9" t="e">
        <f t="shared" ca="1" si="0"/>
        <v>#NAME?</v>
      </c>
      <c r="K9" t="e">
        <f t="shared" ca="1" si="7"/>
        <v>#NAME?</v>
      </c>
      <c r="L9">
        <f t="shared" si="16"/>
        <v>4862</v>
      </c>
      <c r="M9">
        <f t="shared" si="9"/>
        <v>4862</v>
      </c>
      <c r="N9">
        <f t="shared" si="12"/>
        <v>5</v>
      </c>
      <c r="O9">
        <f t="shared" si="17"/>
        <v>5</v>
      </c>
      <c r="P9" t="e">
        <f t="shared" ca="1" si="14"/>
        <v>#NAME?</v>
      </c>
      <c r="Q9" t="e">
        <f t="shared" ca="1" si="15"/>
        <v>#NAME?</v>
      </c>
    </row>
    <row r="10" spans="1:17">
      <c r="A10">
        <v>9</v>
      </c>
      <c r="B10">
        <f t="shared" si="1"/>
        <v>985</v>
      </c>
      <c r="C10">
        <f t="shared" si="2"/>
        <v>985</v>
      </c>
      <c r="D10">
        <f t="shared" si="3"/>
        <v>76</v>
      </c>
      <c r="E10">
        <f t="shared" si="4"/>
        <v>76</v>
      </c>
      <c r="F10">
        <f t="shared" si="10"/>
        <v>5</v>
      </c>
      <c r="G10">
        <f t="shared" si="11"/>
        <v>5</v>
      </c>
      <c r="H10">
        <f t="shared" si="5"/>
        <v>835</v>
      </c>
      <c r="I10">
        <f t="shared" si="6"/>
        <v>835</v>
      </c>
      <c r="J10" t="e">
        <f t="shared" ca="1" si="0"/>
        <v>#NAME?</v>
      </c>
      <c r="K10" t="e">
        <f t="shared" ca="1" si="7"/>
        <v>#NAME?</v>
      </c>
      <c r="L10">
        <f t="shared" si="16"/>
        <v>16796</v>
      </c>
      <c r="M10">
        <f t="shared" si="9"/>
        <v>16796</v>
      </c>
      <c r="N10">
        <f t="shared" si="12"/>
        <v>6</v>
      </c>
      <c r="O10">
        <f t="shared" si="17"/>
        <v>6</v>
      </c>
      <c r="P10" t="e">
        <f t="shared" ca="1" si="14"/>
        <v>#NAME?</v>
      </c>
      <c r="Q10" t="e">
        <f t="shared" ca="1" si="15"/>
        <v>#NAME?</v>
      </c>
    </row>
    <row r="11" spans="1:17">
      <c r="A11">
        <v>10</v>
      </c>
      <c r="B11">
        <f t="shared" si="1"/>
        <v>2378</v>
      </c>
      <c r="C11">
        <f t="shared" si="2"/>
        <v>2378</v>
      </c>
      <c r="D11">
        <f t="shared" si="3"/>
        <v>123</v>
      </c>
      <c r="E11">
        <f t="shared" si="4"/>
        <v>123</v>
      </c>
      <c r="F11">
        <f t="shared" si="10"/>
        <v>6</v>
      </c>
      <c r="G11">
        <f t="shared" si="11"/>
        <v>6</v>
      </c>
      <c r="H11">
        <f t="shared" si="5"/>
        <v>2188</v>
      </c>
      <c r="I11">
        <f t="shared" si="6"/>
        <v>2188</v>
      </c>
      <c r="J11" t="e">
        <f t="shared" ca="1" si="0"/>
        <v>#NAME?</v>
      </c>
      <c r="K11" t="e">
        <f t="shared" ca="1" si="7"/>
        <v>#NAME?</v>
      </c>
      <c r="L11">
        <f t="shared" si="16"/>
        <v>58786</v>
      </c>
      <c r="M11">
        <f t="shared" si="9"/>
        <v>58786</v>
      </c>
      <c r="N11">
        <f t="shared" si="12"/>
        <v>6</v>
      </c>
      <c r="O11">
        <f t="shared" si="17"/>
        <v>6</v>
      </c>
      <c r="P11" t="e">
        <f ca="1">Mallow(A11)</f>
        <v>#NAME?</v>
      </c>
      <c r="Q11" t="e">
        <f t="shared" ca="1" si="15"/>
        <v>#NAME?</v>
      </c>
    </row>
    <row r="12" spans="1:17">
      <c r="A12">
        <v>11</v>
      </c>
      <c r="B12">
        <f t="shared" si="1"/>
        <v>5741</v>
      </c>
      <c r="C12">
        <f t="shared" si="2"/>
        <v>5741</v>
      </c>
      <c r="D12">
        <f t="shared" si="3"/>
        <v>199</v>
      </c>
      <c r="E12">
        <f t="shared" si="4"/>
        <v>199</v>
      </c>
      <c r="F12">
        <f>HofstadterConway(A12)</f>
        <v>7</v>
      </c>
      <c r="G12">
        <f t="shared" si="11"/>
        <v>7</v>
      </c>
      <c r="H12">
        <f t="shared" si="5"/>
        <v>5798</v>
      </c>
      <c r="I12">
        <f t="shared" si="6"/>
        <v>5798</v>
      </c>
      <c r="J12" t="e">
        <f t="shared" ca="1" si="0"/>
        <v>#NAME?</v>
      </c>
      <c r="K12" t="e">
        <f t="shared" ca="1" si="7"/>
        <v>#NAME?</v>
      </c>
      <c r="L12">
        <f t="shared" si="16"/>
        <v>208012</v>
      </c>
      <c r="M12">
        <f t="shared" si="9"/>
        <v>208012</v>
      </c>
      <c r="N12">
        <f t="shared" si="12"/>
        <v>6</v>
      </c>
      <c r="O12">
        <f t="shared" si="17"/>
        <v>6</v>
      </c>
      <c r="P12" t="e">
        <f t="shared" ca="1" si="14"/>
        <v>#NAME?</v>
      </c>
    </row>
    <row r="13" spans="1:17">
      <c r="A13">
        <v>12</v>
      </c>
      <c r="B13">
        <f>Pell(A13)</f>
        <v>13860</v>
      </c>
      <c r="C13">
        <f>PellDer(A13)</f>
        <v>13860</v>
      </c>
      <c r="D13">
        <f t="shared" si="3"/>
        <v>322</v>
      </c>
      <c r="E13">
        <f t="shared" si="4"/>
        <v>322</v>
      </c>
      <c r="F13">
        <f t="shared" si="10"/>
        <v>7</v>
      </c>
      <c r="G13">
        <f t="shared" si="11"/>
        <v>7</v>
      </c>
      <c r="H13">
        <f t="shared" si="5"/>
        <v>15511</v>
      </c>
      <c r="I13">
        <f t="shared" si="6"/>
        <v>15511</v>
      </c>
      <c r="J13" t="e">
        <f t="shared" ca="1" si="0"/>
        <v>#NAME?</v>
      </c>
      <c r="K13" t="e">
        <f t="shared" ca="1" si="7"/>
        <v>#NAME?</v>
      </c>
      <c r="L13">
        <f t="shared" ref="L13:L15" si="18">Catalan(A13)</f>
        <v>742900</v>
      </c>
      <c r="M13">
        <f t="shared" si="9"/>
        <v>742900</v>
      </c>
      <c r="N13">
        <f t="shared" si="12"/>
        <v>8</v>
      </c>
      <c r="O13">
        <f t="shared" si="17"/>
        <v>8</v>
      </c>
      <c r="P13" t="e">
        <f t="shared" ca="1" si="14"/>
        <v>#NAME?</v>
      </c>
    </row>
    <row r="14" spans="1:17">
      <c r="A14">
        <v>13</v>
      </c>
      <c r="B14">
        <f t="shared" si="1"/>
        <v>33461</v>
      </c>
      <c r="C14">
        <f t="shared" si="2"/>
        <v>33461</v>
      </c>
      <c r="D14">
        <f t="shared" si="3"/>
        <v>521</v>
      </c>
      <c r="E14">
        <f t="shared" si="4"/>
        <v>521</v>
      </c>
      <c r="F14">
        <f>HofstadterConway(A14)</f>
        <v>8</v>
      </c>
      <c r="G14">
        <f t="shared" si="11"/>
        <v>8</v>
      </c>
      <c r="H14">
        <f t="shared" si="5"/>
        <v>41835</v>
      </c>
      <c r="I14">
        <f t="shared" si="6"/>
        <v>41835</v>
      </c>
      <c r="J14" t="e">
        <f t="shared" ca="1" si="0"/>
        <v>#NAME?</v>
      </c>
      <c r="K14" t="e">
        <f t="shared" ca="1" si="7"/>
        <v>#NAME?</v>
      </c>
      <c r="L14">
        <f t="shared" si="18"/>
        <v>2674440</v>
      </c>
      <c r="M14">
        <f t="shared" si="9"/>
        <v>2674440</v>
      </c>
      <c r="N14">
        <f t="shared" si="12"/>
        <v>8</v>
      </c>
      <c r="O14">
        <f t="shared" si="17"/>
        <v>8</v>
      </c>
      <c r="P14" t="e">
        <f t="shared" ca="1" si="14"/>
        <v>#NAME?</v>
      </c>
    </row>
    <row r="15" spans="1:17">
      <c r="A15">
        <v>14</v>
      </c>
      <c r="B15">
        <f t="shared" si="1"/>
        <v>80782</v>
      </c>
      <c r="C15">
        <f t="shared" si="2"/>
        <v>80782</v>
      </c>
      <c r="D15">
        <f t="shared" si="3"/>
        <v>843</v>
      </c>
      <c r="E15">
        <f t="shared" si="4"/>
        <v>843</v>
      </c>
      <c r="F15">
        <f t="shared" si="10"/>
        <v>8</v>
      </c>
      <c r="G15">
        <f t="shared" si="11"/>
        <v>8</v>
      </c>
      <c r="H15">
        <f t="shared" si="5"/>
        <v>113634</v>
      </c>
      <c r="I15">
        <f>MotzkinDer(A15)</f>
        <v>113634</v>
      </c>
      <c r="J15" t="e">
        <f t="shared" ca="1" si="0"/>
        <v>#NAME?</v>
      </c>
      <c r="K15" t="e">
        <f ca="1">ShroedrerDer(A15)</f>
        <v>#NAME?</v>
      </c>
      <c r="L15">
        <f t="shared" si="18"/>
        <v>9694845</v>
      </c>
      <c r="M15">
        <f t="shared" si="9"/>
        <v>9694845</v>
      </c>
      <c r="N15">
        <f t="shared" si="12"/>
        <v>8</v>
      </c>
      <c r="O15">
        <f t="shared" si="17"/>
        <v>8</v>
      </c>
      <c r="P15" t="e">
        <f t="shared" ca="1" si="14"/>
        <v>#NAME?</v>
      </c>
    </row>
    <row r="16" spans="1:17">
      <c r="A16">
        <v>15</v>
      </c>
      <c r="B16">
        <f t="shared" si="1"/>
        <v>195025</v>
      </c>
      <c r="C16">
        <f t="shared" si="2"/>
        <v>195025</v>
      </c>
      <c r="D16">
        <f t="shared" si="3"/>
        <v>1364</v>
      </c>
      <c r="E16">
        <f t="shared" si="4"/>
        <v>1364</v>
      </c>
      <c r="F16">
        <f>HofstadterConway(A16)</f>
        <v>8</v>
      </c>
      <c r="G16">
        <f t="shared" si="11"/>
        <v>8</v>
      </c>
      <c r="H16">
        <f t="shared" si="5"/>
        <v>310572</v>
      </c>
      <c r="I16">
        <f t="shared" si="6"/>
        <v>310572</v>
      </c>
      <c r="K16" t="e">
        <f t="shared" ca="1" si="7"/>
        <v>#NAME?</v>
      </c>
      <c r="L16">
        <f>Catalan(A16)</f>
        <v>35357670</v>
      </c>
      <c r="M16">
        <f t="shared" si="9"/>
        <v>35357670</v>
      </c>
      <c r="N16">
        <f t="shared" si="12"/>
        <v>10</v>
      </c>
      <c r="O16">
        <f t="shared" si="17"/>
        <v>10</v>
      </c>
      <c r="P16" t="e">
        <f t="shared" ca="1" si="14"/>
        <v>#NAME?</v>
      </c>
    </row>
    <row r="17" spans="1:16">
      <c r="A17">
        <v>16</v>
      </c>
      <c r="B17">
        <f t="shared" si="1"/>
        <v>470832</v>
      </c>
      <c r="C17">
        <f t="shared" si="2"/>
        <v>470832</v>
      </c>
      <c r="D17">
        <f t="shared" si="3"/>
        <v>2207</v>
      </c>
      <c r="E17">
        <f t="shared" si="4"/>
        <v>2207</v>
      </c>
      <c r="F17">
        <f t="shared" si="10"/>
        <v>8</v>
      </c>
      <c r="G17">
        <f t="shared" si="11"/>
        <v>8</v>
      </c>
      <c r="H17">
        <f t="shared" si="5"/>
        <v>853467</v>
      </c>
      <c r="I17">
        <f t="shared" si="6"/>
        <v>853467</v>
      </c>
      <c r="K17" t="e">
        <f t="shared" ca="1" si="7"/>
        <v>#NAME?</v>
      </c>
      <c r="L17">
        <f t="shared" ref="L17" si="19">Catalan(A17)</f>
        <v>129644790</v>
      </c>
      <c r="M17">
        <f t="shared" si="9"/>
        <v>129644790</v>
      </c>
      <c r="N17">
        <f t="shared" si="12"/>
        <v>9</v>
      </c>
      <c r="O17">
        <f t="shared" si="17"/>
        <v>9</v>
      </c>
      <c r="P17" t="e">
        <f ca="1">Mallow(A17)</f>
        <v>#NAME?</v>
      </c>
    </row>
    <row r="18" spans="1:16">
      <c r="A18">
        <v>17</v>
      </c>
      <c r="B18">
        <f t="shared" si="1"/>
        <v>1136689</v>
      </c>
      <c r="C18">
        <f t="shared" si="2"/>
        <v>1136689</v>
      </c>
      <c r="D18">
        <f t="shared" si="3"/>
        <v>3571</v>
      </c>
      <c r="E18">
        <f t="shared" si="4"/>
        <v>3571</v>
      </c>
      <c r="F18">
        <f t="shared" si="10"/>
        <v>9</v>
      </c>
      <c r="G18">
        <f t="shared" si="11"/>
        <v>9</v>
      </c>
      <c r="H18">
        <f t="shared" si="5"/>
        <v>2356779</v>
      </c>
      <c r="I18">
        <f t="shared" si="6"/>
        <v>2356779</v>
      </c>
      <c r="K18" t="e">
        <f t="shared" ca="1" si="7"/>
        <v>#NAME?</v>
      </c>
      <c r="L18">
        <f>Catalan(A18)</f>
        <v>477638700</v>
      </c>
      <c r="M18">
        <f t="shared" si="9"/>
        <v>477638700</v>
      </c>
      <c r="N18">
        <f t="shared" si="12"/>
        <v>10</v>
      </c>
      <c r="O18">
        <f t="shared" si="17"/>
        <v>10</v>
      </c>
      <c r="P18" t="e">
        <f t="shared" ca="1" si="14"/>
        <v>#NAME?</v>
      </c>
    </row>
    <row r="19" spans="1:16">
      <c r="A19">
        <v>18</v>
      </c>
      <c r="B19">
        <f t="shared" si="1"/>
        <v>2744210</v>
      </c>
      <c r="C19">
        <f t="shared" si="2"/>
        <v>2744210</v>
      </c>
      <c r="D19">
        <f t="shared" si="3"/>
        <v>5778</v>
      </c>
      <c r="E19">
        <f t="shared" si="4"/>
        <v>5778</v>
      </c>
      <c r="F19">
        <f>HofstadterConway(A19)</f>
        <v>10</v>
      </c>
      <c r="G19">
        <f t="shared" si="11"/>
        <v>10</v>
      </c>
      <c r="H19">
        <f t="shared" si="5"/>
        <v>6536382</v>
      </c>
      <c r="I19">
        <f t="shared" si="6"/>
        <v>6536382</v>
      </c>
      <c r="K19" t="e">
        <f t="shared" ca="1" si="7"/>
        <v>#NAME?</v>
      </c>
      <c r="L19">
        <f>Catalan(A19)</f>
        <v>1767263190</v>
      </c>
      <c r="M19">
        <f t="shared" si="9"/>
        <v>1767263190</v>
      </c>
      <c r="N19">
        <f>QHofstadter(A19)</f>
        <v>11</v>
      </c>
      <c r="O19">
        <f t="shared" si="17"/>
        <v>11</v>
      </c>
      <c r="P19" t="e">
        <f t="shared" ca="1" si="14"/>
        <v>#NAME?</v>
      </c>
    </row>
    <row r="20" spans="1:16">
      <c r="A20">
        <v>19</v>
      </c>
      <c r="B20">
        <f t="shared" si="1"/>
        <v>6625109</v>
      </c>
      <c r="C20">
        <f t="shared" si="2"/>
        <v>6625109</v>
      </c>
      <c r="D20">
        <f t="shared" si="3"/>
        <v>9349</v>
      </c>
      <c r="E20">
        <f t="shared" si="4"/>
        <v>9349</v>
      </c>
      <c r="F20">
        <f t="shared" si="10"/>
        <v>11</v>
      </c>
      <c r="G20">
        <f t="shared" si="11"/>
        <v>11</v>
      </c>
      <c r="H20">
        <f t="shared" si="5"/>
        <v>18199284</v>
      </c>
      <c r="I20">
        <f t="shared" si="6"/>
        <v>18199284</v>
      </c>
      <c r="K20" t="e">
        <f t="shared" ca="1" si="7"/>
        <v>#NAME?</v>
      </c>
      <c r="L20">
        <f>Catalan(A20)</f>
        <v>6564120420</v>
      </c>
      <c r="M20">
        <f t="shared" si="9"/>
        <v>6564120420</v>
      </c>
      <c r="N20">
        <f t="shared" si="12"/>
        <v>11</v>
      </c>
      <c r="O20">
        <f t="shared" si="17"/>
        <v>11</v>
      </c>
      <c r="P20" t="e">
        <f t="shared" ca="1" si="14"/>
        <v>#NAME?</v>
      </c>
    </row>
    <row r="21" spans="1:16">
      <c r="A21">
        <v>20</v>
      </c>
      <c r="B21">
        <f t="shared" si="1"/>
        <v>15994428</v>
      </c>
      <c r="C21">
        <f t="shared" si="2"/>
        <v>15994428</v>
      </c>
      <c r="D21">
        <f t="shared" si="3"/>
        <v>15127</v>
      </c>
      <c r="E21">
        <f t="shared" si="4"/>
        <v>15127</v>
      </c>
      <c r="F21">
        <f t="shared" si="10"/>
        <v>12</v>
      </c>
      <c r="G21">
        <f t="shared" si="11"/>
        <v>12</v>
      </c>
      <c r="H21">
        <f t="shared" si="5"/>
        <v>50852019</v>
      </c>
      <c r="I21">
        <f t="shared" si="6"/>
        <v>50852019</v>
      </c>
      <c r="K21" t="e">
        <f ca="1">ShroedrerDer(A21)</f>
        <v>#NAME?</v>
      </c>
      <c r="L21">
        <f t="shared" ref="L21" si="20">Catalan(A21)</f>
        <v>24466267020</v>
      </c>
      <c r="M21">
        <f t="shared" si="9"/>
        <v>24466267020</v>
      </c>
      <c r="N21">
        <f t="shared" si="12"/>
        <v>12</v>
      </c>
      <c r="O21">
        <f t="shared" si="17"/>
        <v>12</v>
      </c>
      <c r="P21" t="e">
        <f ca="1">Mallow(A21)</f>
        <v>#NAME?</v>
      </c>
    </row>
    <row r="22" spans="1:16">
      <c r="A22">
        <v>21</v>
      </c>
      <c r="B22">
        <f t="shared" si="1"/>
        <v>38613965</v>
      </c>
      <c r="C22">
        <f t="shared" si="2"/>
        <v>38613965</v>
      </c>
      <c r="D22">
        <f t="shared" si="3"/>
        <v>24476</v>
      </c>
      <c r="E22">
        <f t="shared" si="4"/>
        <v>24476</v>
      </c>
      <c r="F22">
        <f>HofstadterConway(A22)</f>
        <v>12</v>
      </c>
      <c r="G22">
        <f t="shared" si="11"/>
        <v>12</v>
      </c>
      <c r="H22">
        <f t="shared" si="5"/>
        <v>142547559</v>
      </c>
      <c r="I22">
        <f t="shared" si="6"/>
        <v>142547559</v>
      </c>
      <c r="K22" t="e">
        <f t="shared" ca="1" si="7"/>
        <v>#NAME?</v>
      </c>
      <c r="L22">
        <f>Catalan(A22)</f>
        <v>91482563640</v>
      </c>
      <c r="M22">
        <f t="shared" si="9"/>
        <v>91482563640</v>
      </c>
      <c r="N22">
        <f>QHofstadter(A22)</f>
        <v>12</v>
      </c>
      <c r="O22">
        <f t="shared" si="17"/>
        <v>12</v>
      </c>
      <c r="P22" t="e">
        <f t="shared" ca="1" si="14"/>
        <v>#NAME?</v>
      </c>
    </row>
    <row r="23" spans="1:16">
      <c r="A23">
        <v>22</v>
      </c>
      <c r="B23">
        <f t="shared" si="1"/>
        <v>93222358</v>
      </c>
      <c r="C23">
        <f t="shared" si="2"/>
        <v>93222358</v>
      </c>
      <c r="D23">
        <f t="shared" si="3"/>
        <v>39603</v>
      </c>
      <c r="E23">
        <f t="shared" si="4"/>
        <v>39603</v>
      </c>
      <c r="F23">
        <f t="shared" si="10"/>
        <v>13</v>
      </c>
      <c r="G23">
        <f t="shared" ref="G23:G37" si="21">HofstadterConwayDer(A23)</f>
        <v>13</v>
      </c>
      <c r="H23">
        <f t="shared" si="5"/>
        <v>400763223</v>
      </c>
      <c r="I23">
        <f t="shared" si="6"/>
        <v>400763223</v>
      </c>
      <c r="K23" t="e">
        <f t="shared" ca="1" si="7"/>
        <v>#NAME?</v>
      </c>
      <c r="L23">
        <f>Catalan(A23)</f>
        <v>343059613650</v>
      </c>
      <c r="M23">
        <f t="shared" si="9"/>
        <v>343059613650</v>
      </c>
      <c r="N23">
        <f t="shared" si="12"/>
        <v>12</v>
      </c>
      <c r="O23">
        <f t="shared" si="17"/>
        <v>12</v>
      </c>
      <c r="P23" t="e">
        <f t="shared" ca="1" si="14"/>
        <v>#NAME?</v>
      </c>
    </row>
    <row r="24" spans="1:16">
      <c r="A24">
        <v>23</v>
      </c>
      <c r="B24">
        <f t="shared" si="1"/>
        <v>225058681</v>
      </c>
      <c r="C24">
        <f t="shared" si="2"/>
        <v>225058681</v>
      </c>
      <c r="D24">
        <f t="shared" si="3"/>
        <v>64079</v>
      </c>
      <c r="E24">
        <f t="shared" si="4"/>
        <v>64079</v>
      </c>
      <c r="F24">
        <f t="shared" si="10"/>
        <v>14</v>
      </c>
      <c r="G24">
        <f t="shared" si="21"/>
        <v>14</v>
      </c>
      <c r="H24">
        <f t="shared" si="5"/>
        <v>1129760415</v>
      </c>
      <c r="I24">
        <f t="shared" si="6"/>
        <v>1129760415</v>
      </c>
      <c r="K24" t="e">
        <f t="shared" ca="1" si="7"/>
        <v>#NAME?</v>
      </c>
      <c r="L24">
        <f t="shared" ref="L24" si="22">Catalan(A24)</f>
        <v>1289904147324</v>
      </c>
      <c r="M24">
        <f t="shared" si="9"/>
        <v>1289904147324</v>
      </c>
      <c r="N24">
        <f t="shared" si="12"/>
        <v>12</v>
      </c>
      <c r="O24">
        <f t="shared" si="17"/>
        <v>12</v>
      </c>
      <c r="P24" t="e">
        <f t="shared" ca="1" si="14"/>
        <v>#NAME?</v>
      </c>
    </row>
    <row r="25" spans="1:16">
      <c r="A25">
        <v>24</v>
      </c>
      <c r="B25">
        <f t="shared" si="1"/>
        <v>543339720</v>
      </c>
      <c r="C25">
        <f t="shared" si="2"/>
        <v>543339720</v>
      </c>
      <c r="D25">
        <f t="shared" si="3"/>
        <v>103682</v>
      </c>
      <c r="E25">
        <f t="shared" si="4"/>
        <v>103682</v>
      </c>
      <c r="F25">
        <f>HofstadterConway(A25)</f>
        <v>14</v>
      </c>
      <c r="G25">
        <f t="shared" si="21"/>
        <v>14</v>
      </c>
      <c r="H25">
        <f t="shared" si="5"/>
        <v>3192727797</v>
      </c>
      <c r="I25">
        <f t="shared" si="6"/>
        <v>3192727797</v>
      </c>
      <c r="K25" t="e">
        <f t="shared" ca="1" si="7"/>
        <v>#NAME?</v>
      </c>
      <c r="L25">
        <f>Catalan(A25)</f>
        <v>4861946401452</v>
      </c>
      <c r="M25">
        <f t="shared" si="9"/>
        <v>4861946401452</v>
      </c>
      <c r="N25">
        <f t="shared" si="12"/>
        <v>16</v>
      </c>
      <c r="O25">
        <f t="shared" si="17"/>
        <v>16</v>
      </c>
      <c r="P25" t="e">
        <f ca="1">Mallow(A25)</f>
        <v>#NAME?</v>
      </c>
    </row>
    <row r="26" spans="1:16">
      <c r="A26">
        <v>25</v>
      </c>
      <c r="B26">
        <f>Pell(A26)</f>
        <v>1311738121</v>
      </c>
      <c r="C26">
        <f t="shared" si="2"/>
        <v>1311738121</v>
      </c>
      <c r="D26">
        <f t="shared" si="3"/>
        <v>167761</v>
      </c>
      <c r="E26">
        <f t="shared" si="4"/>
        <v>167761</v>
      </c>
      <c r="F26">
        <f t="shared" si="10"/>
        <v>15</v>
      </c>
      <c r="G26">
        <f t="shared" si="21"/>
        <v>15</v>
      </c>
      <c r="H26">
        <f t="shared" si="5"/>
        <v>9043402501</v>
      </c>
      <c r="I26">
        <f t="shared" si="6"/>
        <v>9043402501</v>
      </c>
      <c r="K26" t="e">
        <f t="shared" ca="1" si="7"/>
        <v>#NAME?</v>
      </c>
      <c r="L26">
        <f t="shared" ref="L26" si="23">Catalan(A26)</f>
        <v>18367353072152</v>
      </c>
      <c r="M26">
        <f t="shared" si="9"/>
        <v>18367353072152</v>
      </c>
      <c r="N26">
        <f>QHofstadter(A26)</f>
        <v>14</v>
      </c>
      <c r="O26">
        <f t="shared" si="17"/>
        <v>14</v>
      </c>
      <c r="P26" t="e">
        <f t="shared" ca="1" si="14"/>
        <v>#NAME?</v>
      </c>
    </row>
    <row r="27" spans="1:16">
      <c r="A27">
        <v>26</v>
      </c>
      <c r="B27">
        <f t="shared" si="1"/>
        <v>3166815962</v>
      </c>
      <c r="C27">
        <f t="shared" si="2"/>
        <v>3166815962</v>
      </c>
      <c r="D27">
        <f t="shared" si="3"/>
        <v>271443</v>
      </c>
      <c r="E27">
        <f t="shared" si="4"/>
        <v>271443</v>
      </c>
      <c r="F27">
        <f>HofstadterConway(A27)</f>
        <v>15</v>
      </c>
      <c r="G27">
        <f t="shared" si="21"/>
        <v>15</v>
      </c>
      <c r="H27">
        <f t="shared" si="5"/>
        <v>25669818476</v>
      </c>
      <c r="I27">
        <f>MotzkinDer(A27)</f>
        <v>25669818476</v>
      </c>
      <c r="K27" t="e">
        <f ca="1">ShroedrerDer(A27)</f>
        <v>#NAME?</v>
      </c>
      <c r="L27">
        <f>Catalan(A27)</f>
        <v>69533550916004</v>
      </c>
      <c r="M27">
        <f t="shared" si="9"/>
        <v>69533550916004</v>
      </c>
      <c r="N27">
        <f t="shared" si="12"/>
        <v>14</v>
      </c>
      <c r="O27">
        <f t="shared" si="17"/>
        <v>14</v>
      </c>
      <c r="P27" t="e">
        <f t="shared" ca="1" si="14"/>
        <v>#NAME?</v>
      </c>
    </row>
    <row r="28" spans="1:16">
      <c r="A28">
        <v>27</v>
      </c>
      <c r="B28">
        <f t="shared" si="1"/>
        <v>7645370045</v>
      </c>
      <c r="C28">
        <f t="shared" si="2"/>
        <v>7645370045</v>
      </c>
      <c r="D28">
        <f t="shared" si="3"/>
        <v>439204</v>
      </c>
      <c r="E28">
        <f t="shared" si="4"/>
        <v>439204</v>
      </c>
      <c r="F28">
        <f t="shared" si="10"/>
        <v>15</v>
      </c>
      <c r="G28">
        <f t="shared" si="21"/>
        <v>15</v>
      </c>
      <c r="H28">
        <f t="shared" si="5"/>
        <v>73007772802</v>
      </c>
      <c r="I28">
        <f t="shared" si="6"/>
        <v>73007772802</v>
      </c>
      <c r="K28" t="e">
        <f t="shared" ca="1" si="7"/>
        <v>#NAME?</v>
      </c>
      <c r="L28">
        <f>Catalan(A28)</f>
        <v>263747951750360</v>
      </c>
      <c r="M28">
        <f t="shared" si="9"/>
        <v>263747951750360</v>
      </c>
      <c r="N28">
        <f>QHofstadter(A28)</f>
        <v>16</v>
      </c>
      <c r="O28">
        <f t="shared" si="17"/>
        <v>16</v>
      </c>
      <c r="P28" t="e">
        <f t="shared" ca="1" si="14"/>
        <v>#NAME?</v>
      </c>
    </row>
    <row r="29" spans="1:16">
      <c r="A29">
        <v>28</v>
      </c>
      <c r="B29">
        <f t="shared" si="1"/>
        <v>18457556052</v>
      </c>
      <c r="C29">
        <f t="shared" si="2"/>
        <v>18457556052</v>
      </c>
      <c r="D29">
        <f t="shared" si="3"/>
        <v>710647</v>
      </c>
      <c r="E29">
        <f t="shared" si="4"/>
        <v>710647</v>
      </c>
      <c r="F29">
        <f t="shared" si="10"/>
        <v>16</v>
      </c>
      <c r="G29">
        <f t="shared" si="21"/>
        <v>16</v>
      </c>
      <c r="H29">
        <f t="shared" si="5"/>
        <v>208023278209</v>
      </c>
      <c r="I29">
        <f t="shared" si="6"/>
        <v>208023278209</v>
      </c>
      <c r="K29" t="e">
        <f t="shared" ca="1" si="7"/>
        <v>#NAME?</v>
      </c>
      <c r="L29">
        <f t="shared" ref="L29" si="24">Catalan(A29)</f>
        <v>1002242216651368</v>
      </c>
      <c r="M29">
        <f t="shared" si="9"/>
        <v>1002242216651368</v>
      </c>
      <c r="N29">
        <f t="shared" si="12"/>
        <v>16</v>
      </c>
      <c r="O29">
        <f t="shared" si="17"/>
        <v>16</v>
      </c>
      <c r="P29" t="e">
        <f t="shared" ca="1" si="14"/>
        <v>#NAME?</v>
      </c>
    </row>
    <row r="30" spans="1:16">
      <c r="A30">
        <v>29</v>
      </c>
      <c r="B30">
        <f t="shared" si="1"/>
        <v>44560482149</v>
      </c>
      <c r="C30">
        <f t="shared" si="2"/>
        <v>44560482149</v>
      </c>
      <c r="D30">
        <f t="shared" si="3"/>
        <v>1149851</v>
      </c>
      <c r="E30">
        <f t="shared" si="4"/>
        <v>1149851</v>
      </c>
      <c r="G30">
        <f t="shared" si="21"/>
        <v>16</v>
      </c>
      <c r="H30">
        <f t="shared" si="5"/>
        <v>593742784829</v>
      </c>
      <c r="I30">
        <f t="shared" si="6"/>
        <v>593742784829</v>
      </c>
      <c r="K30" t="e">
        <f t="shared" ca="1" si="7"/>
        <v>#NAME?</v>
      </c>
      <c r="L30">
        <f>Catalan(A30)</f>
        <v>3814986502092304</v>
      </c>
      <c r="M30">
        <f t="shared" si="9"/>
        <v>3814986502092304</v>
      </c>
      <c r="N30">
        <f>QHofstadter(A30)</f>
        <v>16</v>
      </c>
      <c r="O30">
        <f t="shared" si="17"/>
        <v>16</v>
      </c>
      <c r="P30" t="e">
        <f ca="1">Mallow(A30)</f>
        <v>#NAME?</v>
      </c>
    </row>
    <row r="31" spans="1:16">
      <c r="A31">
        <v>30</v>
      </c>
      <c r="B31">
        <f t="shared" si="1"/>
        <v>107578520350</v>
      </c>
      <c r="C31">
        <f t="shared" si="2"/>
        <v>107578520350</v>
      </c>
      <c r="D31">
        <f t="shared" si="3"/>
        <v>1860498</v>
      </c>
      <c r="E31">
        <f t="shared" si="4"/>
        <v>1860498</v>
      </c>
      <c r="G31">
        <f t="shared" si="21"/>
        <v>16</v>
      </c>
      <c r="H31">
        <f t="shared" si="5"/>
        <v>1697385471211</v>
      </c>
      <c r="I31">
        <f t="shared" si="6"/>
        <v>1697385471211</v>
      </c>
      <c r="K31" t="e">
        <f t="shared" ca="1" si="7"/>
        <v>#NAME?</v>
      </c>
      <c r="L31">
        <f t="shared" ref="L31" si="25">Catalan(A31)</f>
        <v>1.4544636039226908E+16</v>
      </c>
      <c r="M31">
        <f t="shared" si="9"/>
        <v>1.4544636039226908E+16</v>
      </c>
      <c r="N31">
        <f>QHofstadter(A31)</f>
        <v>16</v>
      </c>
      <c r="O31">
        <f t="shared" si="17"/>
        <v>16</v>
      </c>
      <c r="P31" t="e">
        <f t="shared" ca="1" si="14"/>
        <v>#NAME?</v>
      </c>
    </row>
    <row r="32" spans="1:16">
      <c r="A32">
        <v>31</v>
      </c>
      <c r="B32">
        <f t="shared" si="1"/>
        <v>259717522849</v>
      </c>
      <c r="C32">
        <f t="shared" si="2"/>
        <v>259717522849</v>
      </c>
      <c r="D32">
        <f t="shared" si="3"/>
        <v>3010349</v>
      </c>
      <c r="E32">
        <f t="shared" si="4"/>
        <v>3010349</v>
      </c>
      <c r="G32">
        <f t="shared" si="21"/>
        <v>16</v>
      </c>
      <c r="H32">
        <f t="shared" si="5"/>
        <v>4859761676391</v>
      </c>
      <c r="I32">
        <f t="shared" si="6"/>
        <v>4859761676391</v>
      </c>
      <c r="K32" t="e">
        <f t="shared" ca="1" si="7"/>
        <v>#NAME?</v>
      </c>
      <c r="L32">
        <f>Catalan(A32)</f>
        <v>5.5534064877048192E+16</v>
      </c>
      <c r="M32">
        <f t="shared" si="9"/>
        <v>5.5534064877048192E+16</v>
      </c>
      <c r="N32">
        <f t="shared" ref="N32:N33" si="26">QHofstadter(A32)</f>
        <v>20</v>
      </c>
      <c r="O32">
        <f t="shared" si="17"/>
        <v>20</v>
      </c>
      <c r="P32" t="e">
        <f t="shared" ca="1" si="14"/>
        <v>#NAME?</v>
      </c>
    </row>
    <row r="33" spans="1:16">
      <c r="A33">
        <v>32</v>
      </c>
      <c r="B33">
        <f>Pell(A33)</f>
        <v>627013566048</v>
      </c>
      <c r="C33">
        <f t="shared" si="2"/>
        <v>627013566048</v>
      </c>
      <c r="D33">
        <f t="shared" si="3"/>
        <v>4870847</v>
      </c>
      <c r="E33">
        <f t="shared" si="4"/>
        <v>4870847</v>
      </c>
      <c r="G33">
        <f t="shared" si="21"/>
        <v>16</v>
      </c>
      <c r="H33">
        <f t="shared" si="5"/>
        <v>13933569346707</v>
      </c>
      <c r="I33">
        <f t="shared" si="6"/>
        <v>13933569346707</v>
      </c>
      <c r="K33" t="e">
        <f t="shared" ca="1" si="7"/>
        <v>#NAME?</v>
      </c>
      <c r="L33">
        <f t="shared" ref="L33" si="27">Catalan(A33)</f>
        <v>2.1233613041224307E+17</v>
      </c>
      <c r="M33">
        <f t="shared" si="9"/>
        <v>2.1233613041224307E+17</v>
      </c>
      <c r="N33">
        <f t="shared" si="26"/>
        <v>17</v>
      </c>
      <c r="O33">
        <f t="shared" si="17"/>
        <v>17</v>
      </c>
      <c r="P33" t="e">
        <f t="shared" ca="1" si="14"/>
        <v>#NAME?</v>
      </c>
    </row>
    <row r="34" spans="1:16">
      <c r="A34">
        <v>33</v>
      </c>
      <c r="B34">
        <f t="shared" si="1"/>
        <v>1513744654945</v>
      </c>
      <c r="C34">
        <f t="shared" si="2"/>
        <v>1513744654945</v>
      </c>
      <c r="D34">
        <f t="shared" si="3"/>
        <v>7881196</v>
      </c>
      <c r="E34">
        <f t="shared" si="4"/>
        <v>7881196</v>
      </c>
      <c r="G34">
        <f t="shared" si="21"/>
        <v>17</v>
      </c>
      <c r="H34">
        <f t="shared" si="5"/>
        <v>40002464776083</v>
      </c>
      <c r="I34">
        <f t="shared" si="6"/>
        <v>40002464776083</v>
      </c>
      <c r="K34" t="e">
        <f t="shared" ca="1" si="7"/>
        <v>#NAME?</v>
      </c>
      <c r="L34">
        <f>Catalan(A34)</f>
        <v>8.1294404214973056E+17</v>
      </c>
      <c r="M34">
        <f t="shared" si="9"/>
        <v>8.1294404214973056E+17</v>
      </c>
      <c r="N34">
        <f>QHofstadter(A34)</f>
        <v>17</v>
      </c>
      <c r="O34">
        <f t="shared" si="17"/>
        <v>17</v>
      </c>
      <c r="P34" t="e">
        <f ca="1">Mallow(A34)</f>
        <v>#NAME?</v>
      </c>
    </row>
    <row r="35" spans="1:16">
      <c r="A35">
        <v>34</v>
      </c>
      <c r="B35">
        <f t="shared" si="1"/>
        <v>3654502875938</v>
      </c>
      <c r="C35">
        <f t="shared" si="2"/>
        <v>3654502875938</v>
      </c>
      <c r="D35">
        <f t="shared" si="3"/>
        <v>12752043</v>
      </c>
      <c r="E35">
        <f t="shared" si="4"/>
        <v>12752043</v>
      </c>
      <c r="G35">
        <f t="shared" si="21"/>
        <v>18</v>
      </c>
      <c r="H35">
        <f t="shared" si="5"/>
        <v>114988706524270</v>
      </c>
      <c r="I35">
        <f t="shared" si="6"/>
        <v>114988706524270</v>
      </c>
      <c r="K35" t="e">
        <f t="shared" ca="1" si="7"/>
        <v>#NAME?</v>
      </c>
      <c r="L35">
        <f>Catalan(A35)</f>
        <v>3.1162854949073004E+18</v>
      </c>
      <c r="M35">
        <f t="shared" si="9"/>
        <v>3.1162854949073004E+18</v>
      </c>
      <c r="N35">
        <f>QHofstadter(A35)</f>
        <v>20</v>
      </c>
      <c r="O35">
        <f t="shared" si="17"/>
        <v>20</v>
      </c>
      <c r="P35" t="e">
        <f t="shared" ca="1" si="14"/>
        <v>#NAME?</v>
      </c>
    </row>
    <row r="36" spans="1:16">
      <c r="A36">
        <v>35</v>
      </c>
      <c r="B36">
        <f t="shared" si="1"/>
        <v>8822750406821</v>
      </c>
      <c r="C36">
        <f t="shared" si="2"/>
        <v>8822750406821</v>
      </c>
      <c r="D36">
        <f t="shared" si="3"/>
        <v>20633239</v>
      </c>
      <c r="E36">
        <f t="shared" si="4"/>
        <v>20633239</v>
      </c>
      <c r="G36">
        <f t="shared" si="21"/>
        <v>19</v>
      </c>
      <c r="H36">
        <f t="shared" si="5"/>
        <v>330931069469828</v>
      </c>
      <c r="I36">
        <f t="shared" si="6"/>
        <v>330931069469828</v>
      </c>
      <c r="K36" t="e">
        <f t="shared" ca="1" si="7"/>
        <v>#NAME?</v>
      </c>
      <c r="L36">
        <f t="shared" ref="L36" si="28">Catalan(A36)</f>
        <v>1.195979838586045E+19</v>
      </c>
      <c r="M36">
        <f t="shared" si="9"/>
        <v>1.195979838586045E+19</v>
      </c>
      <c r="N36">
        <f>QHofstadter(A36)</f>
        <v>21</v>
      </c>
      <c r="O36">
        <f t="shared" si="17"/>
        <v>21</v>
      </c>
      <c r="P36" t="e">
        <f t="shared" ca="1" si="14"/>
        <v>#NAME?</v>
      </c>
    </row>
    <row r="37" spans="1:16">
      <c r="A37">
        <v>36</v>
      </c>
      <c r="B37">
        <f t="shared" si="1"/>
        <v>21300003689580</v>
      </c>
      <c r="C37">
        <f t="shared" si="2"/>
        <v>21300003689580</v>
      </c>
      <c r="D37">
        <f t="shared" si="3"/>
        <v>33385282</v>
      </c>
      <c r="E37">
        <f t="shared" si="4"/>
        <v>33385282</v>
      </c>
      <c r="G37">
        <f t="shared" si="21"/>
        <v>20</v>
      </c>
      <c r="H37">
        <f t="shared" si="5"/>
        <v>953467954114363</v>
      </c>
      <c r="I37">
        <f t="shared" si="6"/>
        <v>953467954114363</v>
      </c>
      <c r="K37" t="e">
        <f t="shared" ca="1" si="7"/>
        <v>#NAME?</v>
      </c>
      <c r="L37">
        <f>Catalan(A37)</f>
        <v>4.595080432462173E+19</v>
      </c>
      <c r="M37">
        <f t="shared" si="9"/>
        <v>4.595080432462173E+19</v>
      </c>
      <c r="N37">
        <f>QHofstadter(A37)</f>
        <v>19</v>
      </c>
      <c r="O37">
        <f t="shared" si="17"/>
        <v>19</v>
      </c>
      <c r="P37" t="e">
        <f ca="1">Mallow(A37)</f>
        <v>#NAME?</v>
      </c>
    </row>
    <row r="38" spans="1:16">
      <c r="A38">
        <v>37</v>
      </c>
      <c r="L38">
        <f t="shared" ref="L38:L101" si="29">Catalan(A38)</f>
        <v>1.7673386278700666E+20</v>
      </c>
      <c r="M38">
        <f t="shared" si="9"/>
        <v>1.7673386278700666E+20</v>
      </c>
      <c r="N38">
        <f>QHofstadter(A38)</f>
        <v>20</v>
      </c>
      <c r="O38">
        <f t="shared" si="17"/>
        <v>20</v>
      </c>
    </row>
    <row r="39" spans="1:16">
      <c r="A39">
        <v>38</v>
      </c>
      <c r="L39">
        <f t="shared" si="29"/>
        <v>6.8042537172997571E+20</v>
      </c>
      <c r="M39">
        <f t="shared" si="9"/>
        <v>6.8042537172997571E+20</v>
      </c>
      <c r="O39">
        <f t="shared" si="17"/>
        <v>22</v>
      </c>
    </row>
    <row r="40" spans="1:16">
      <c r="A40">
        <v>39</v>
      </c>
      <c r="L40">
        <f t="shared" si="29"/>
        <v>2.6221270422764918E+21</v>
      </c>
      <c r="M40">
        <f t="shared" si="9"/>
        <v>2.6221270422764918E+21</v>
      </c>
    </row>
    <row r="41" spans="1:16">
      <c r="A41">
        <v>40</v>
      </c>
      <c r="L41">
        <f t="shared" si="29"/>
        <v>1.0113918591637897E+22</v>
      </c>
      <c r="M41">
        <f t="shared" si="9"/>
        <v>1.0113918591637897E+22</v>
      </c>
    </row>
    <row r="42" spans="1:16">
      <c r="A42">
        <v>41</v>
      </c>
      <c r="L42">
        <f t="shared" si="29"/>
        <v>3.9044429911904441E+22</v>
      </c>
      <c r="M42">
        <f t="shared" si="9"/>
        <v>3.9044429911904441E+22</v>
      </c>
    </row>
    <row r="43" spans="1:16">
      <c r="A43">
        <v>42</v>
      </c>
      <c r="L43">
        <f t="shared" si="29"/>
        <v>1.5085347920508534E+23</v>
      </c>
      <c r="M43">
        <f t="shared" si="9"/>
        <v>1.5085347920508534E+23</v>
      </c>
    </row>
    <row r="44" spans="1:16">
      <c r="A44">
        <v>43</v>
      </c>
      <c r="L44">
        <f t="shared" si="29"/>
        <v>5.8330011959299661E+23</v>
      </c>
      <c r="M44">
        <f t="shared" si="9"/>
        <v>5.8330011959299661E+23</v>
      </c>
    </row>
    <row r="45" spans="1:16">
      <c r="A45">
        <v>44</v>
      </c>
      <c r="L45">
        <f t="shared" si="29"/>
        <v>2.2571178540772477E+24</v>
      </c>
      <c r="M45">
        <f t="shared" si="9"/>
        <v>2.2571178540772477E+24</v>
      </c>
    </row>
    <row r="46" spans="1:16">
      <c r="A46">
        <v>45</v>
      </c>
      <c r="L46">
        <f t="shared" si="29"/>
        <v>8.7403287115331722E+24</v>
      </c>
      <c r="M46">
        <f t="shared" si="9"/>
        <v>8.7403287115331722E+24</v>
      </c>
    </row>
    <row r="47" spans="1:16">
      <c r="A47">
        <v>46</v>
      </c>
      <c r="L47">
        <f t="shared" si="29"/>
        <v>3.3868773757191043E+25</v>
      </c>
      <c r="M47">
        <f t="shared" si="9"/>
        <v>3.3868773757191043E+25</v>
      </c>
    </row>
    <row r="48" spans="1:16">
      <c r="A48">
        <v>47</v>
      </c>
      <c r="L48">
        <f t="shared" si="29"/>
        <v>1.3132789824216935E+26</v>
      </c>
      <c r="M48">
        <f t="shared" si="9"/>
        <v>1.3132789824216935E+26</v>
      </c>
    </row>
    <row r="49" spans="1:13">
      <c r="A49">
        <v>48</v>
      </c>
      <c r="L49">
        <f t="shared" si="29"/>
        <v>5.0955224517961711E+26</v>
      </c>
      <c r="M49">
        <f t="shared" si="9"/>
        <v>5.0955224517961711E+26</v>
      </c>
    </row>
    <row r="50" spans="1:13">
      <c r="A50">
        <v>49</v>
      </c>
      <c r="L50">
        <f t="shared" si="29"/>
        <v>1.9782616577561604E+27</v>
      </c>
      <c r="M50">
        <f t="shared" si="9"/>
        <v>1.9782616577561604E+27</v>
      </c>
    </row>
    <row r="51" spans="1:13">
      <c r="A51">
        <v>50</v>
      </c>
      <c r="L51">
        <f t="shared" si="29"/>
        <v>7.6847856705143158E+27</v>
      </c>
      <c r="M51">
        <f t="shared" si="9"/>
        <v>7.6847856705143158E+27</v>
      </c>
    </row>
    <row r="52" spans="1:13">
      <c r="A52">
        <v>51</v>
      </c>
      <c r="L52">
        <f t="shared" si="29"/>
        <v>2.9869166945772626E+28</v>
      </c>
      <c r="M52">
        <f t="shared" si="9"/>
        <v>2.9869166945772626E+28</v>
      </c>
    </row>
    <row r="53" spans="1:13">
      <c r="A53">
        <v>52</v>
      </c>
      <c r="L53">
        <f t="shared" si="29"/>
        <v>1.1615787145578243E+29</v>
      </c>
      <c r="M53">
        <f t="shared" si="9"/>
        <v>1.1615787145578243E+29</v>
      </c>
    </row>
    <row r="54" spans="1:13">
      <c r="A54">
        <v>53</v>
      </c>
      <c r="L54">
        <f t="shared" si="29"/>
        <v>4.5195971802795343E+29</v>
      </c>
      <c r="M54">
        <f t="shared" si="9"/>
        <v>4.5195971802795343E+29</v>
      </c>
    </row>
    <row r="55" spans="1:13">
      <c r="A55">
        <v>54</v>
      </c>
      <c r="L55">
        <f t="shared" si="29"/>
        <v>1.7594146166088186E+30</v>
      </c>
      <c r="M55">
        <f t="shared" si="9"/>
        <v>1.7594146166088186E+30</v>
      </c>
    </row>
    <row r="56" spans="1:13">
      <c r="A56">
        <v>55</v>
      </c>
      <c r="L56">
        <f t="shared" si="29"/>
        <v>6.8524569278448726E+30</v>
      </c>
      <c r="M56">
        <f t="shared" si="9"/>
        <v>6.8524569278448726E+30</v>
      </c>
    </row>
    <row r="57" spans="1:13">
      <c r="A57">
        <v>56</v>
      </c>
      <c r="L57">
        <f t="shared" si="29"/>
        <v>2.6700952856774847E+31</v>
      </c>
      <c r="M57">
        <f t="shared" si="9"/>
        <v>2.6700952856774847E+31</v>
      </c>
    </row>
    <row r="58" spans="1:13">
      <c r="A58">
        <v>57</v>
      </c>
      <c r="L58">
        <f t="shared" si="29"/>
        <v>1.0408846028912229E+32</v>
      </c>
      <c r="M58">
        <f t="shared" si="9"/>
        <v>1.0408846028912229E+32</v>
      </c>
    </row>
    <row r="59" spans="1:13">
      <c r="A59">
        <v>58</v>
      </c>
      <c r="L59">
        <f t="shared" si="29"/>
        <v>4.0594499512757692E+32</v>
      </c>
      <c r="M59">
        <f t="shared" si="9"/>
        <v>4.0594499512757692E+32</v>
      </c>
    </row>
    <row r="60" spans="1:13">
      <c r="A60">
        <v>59</v>
      </c>
      <c r="L60">
        <f t="shared" si="29"/>
        <v>1.5838509645961196E+33</v>
      </c>
      <c r="M60">
        <f t="shared" si="9"/>
        <v>1.5838509645961196E+33</v>
      </c>
    </row>
    <row r="61" spans="1:13">
      <c r="A61">
        <v>60</v>
      </c>
      <c r="L61">
        <f t="shared" si="29"/>
        <v>6.1821279585848537E+33</v>
      </c>
      <c r="M61">
        <f t="shared" si="9"/>
        <v>6.1821279585848537E+33</v>
      </c>
    </row>
    <row r="62" spans="1:13">
      <c r="A62">
        <v>61</v>
      </c>
      <c r="L62">
        <f t="shared" si="29"/>
        <v>2.4139737743045621E+34</v>
      </c>
      <c r="M62">
        <f t="shared" si="9"/>
        <v>2.4139737743045621E+34</v>
      </c>
    </row>
    <row r="63" spans="1:13">
      <c r="A63">
        <v>62</v>
      </c>
      <c r="L63">
        <f t="shared" si="29"/>
        <v>9.4295850558771954E+34</v>
      </c>
      <c r="M63">
        <f t="shared" si="9"/>
        <v>9.4295850558771954E+34</v>
      </c>
    </row>
    <row r="64" spans="1:13">
      <c r="A64">
        <v>63</v>
      </c>
      <c r="L64">
        <f t="shared" si="29"/>
        <v>3.6847916987581653E+35</v>
      </c>
      <c r="M64">
        <f t="shared" si="9"/>
        <v>3.6847916987581653E+35</v>
      </c>
    </row>
    <row r="65" spans="1:13">
      <c r="A65">
        <v>64</v>
      </c>
      <c r="L65">
        <f t="shared" si="29"/>
        <v>1.4404185731509191E+36</v>
      </c>
      <c r="M65">
        <f t="shared" si="9"/>
        <v>1.4404185731509191E+36</v>
      </c>
    </row>
    <row r="66" spans="1:13">
      <c r="A66">
        <v>65</v>
      </c>
      <c r="L66">
        <f t="shared" si="29"/>
        <v>5.6326815845603101E+36</v>
      </c>
      <c r="M66">
        <f t="shared" ref="M66:M129" si="30">CatalanDer(A66)</f>
        <v>5.6326815845603101E+36</v>
      </c>
    </row>
    <row r="67" spans="1:13">
      <c r="A67">
        <v>66</v>
      </c>
      <c r="L67">
        <f t="shared" si="29"/>
        <v>2.2033725021956508E+37</v>
      </c>
      <c r="M67">
        <f t="shared" si="30"/>
        <v>2.2033725021956508E+37</v>
      </c>
    </row>
    <row r="68" spans="1:13">
      <c r="A68">
        <v>67</v>
      </c>
      <c r="L68">
        <f t="shared" si="29"/>
        <v>8.6218923998960246E+37</v>
      </c>
      <c r="M68">
        <f t="shared" si="30"/>
        <v>8.6218923998960246E+37</v>
      </c>
    </row>
    <row r="69" spans="1:13">
      <c r="A69">
        <v>68</v>
      </c>
      <c r="L69">
        <f t="shared" si="29"/>
        <v>3.3748550251021583E+38</v>
      </c>
      <c r="M69">
        <f t="shared" si="30"/>
        <v>3.3748550251021583E+38</v>
      </c>
    </row>
    <row r="70" spans="1:13">
      <c r="A70">
        <v>69</v>
      </c>
      <c r="L70">
        <f t="shared" si="29"/>
        <v>1.3214221084202817E+39</v>
      </c>
      <c r="M70">
        <f t="shared" si="30"/>
        <v>1.3214221084202817E+39</v>
      </c>
    </row>
    <row r="71" spans="1:13">
      <c r="A71">
        <v>70</v>
      </c>
      <c r="L71">
        <f t="shared" si="29"/>
        <v>5.1755699246461033E+39</v>
      </c>
      <c r="M71">
        <f t="shared" si="30"/>
        <v>5.1755699246461033E+39</v>
      </c>
    </row>
    <row r="72" spans="1:13">
      <c r="A72">
        <v>71</v>
      </c>
      <c r="L72">
        <f t="shared" si="29"/>
        <v>2.0276890389709391E+40</v>
      </c>
      <c r="M72">
        <f t="shared" si="30"/>
        <v>2.0276890389709391E+40</v>
      </c>
    </row>
    <row r="73" spans="1:13">
      <c r="A73">
        <v>72</v>
      </c>
      <c r="L73">
        <f t="shared" si="29"/>
        <v>7.9463489365077347E+40</v>
      </c>
      <c r="M73">
        <f t="shared" si="30"/>
        <v>7.9463489365077347E+40</v>
      </c>
    </row>
    <row r="74" spans="1:13">
      <c r="A74">
        <v>73</v>
      </c>
      <c r="L74">
        <f t="shared" si="29"/>
        <v>3.1149687831110321E+41</v>
      </c>
      <c r="M74">
        <f t="shared" si="30"/>
        <v>3.1149687831110321E+41</v>
      </c>
    </row>
    <row r="75" spans="1:13">
      <c r="A75">
        <v>74</v>
      </c>
      <c r="L75">
        <f t="shared" si="29"/>
        <v>1.2213956544303783E+42</v>
      </c>
      <c r="M75">
        <f t="shared" si="30"/>
        <v>1.2213956544303783E+42</v>
      </c>
    </row>
    <row r="76" spans="1:13">
      <c r="A76">
        <v>75</v>
      </c>
      <c r="L76">
        <f t="shared" si="29"/>
        <v>4.7904089303633021E+42</v>
      </c>
      <c r="M76">
        <f t="shared" si="30"/>
        <v>4.7904089303633021E+42</v>
      </c>
    </row>
    <row r="77" spans="1:13">
      <c r="A77">
        <v>76</v>
      </c>
      <c r="L77">
        <f t="shared" si="29"/>
        <v>1.8793142726809877E+43</v>
      </c>
      <c r="M77">
        <f t="shared" si="30"/>
        <v>1.8793142726809877E+43</v>
      </c>
    </row>
    <row r="78" spans="1:13">
      <c r="A78">
        <v>77</v>
      </c>
      <c r="L78">
        <f t="shared" si="29"/>
        <v>7.3745243611532426E+43</v>
      </c>
      <c r="M78">
        <f t="shared" si="30"/>
        <v>7.3745243611532426E+43</v>
      </c>
    </row>
    <row r="79" spans="1:13">
      <c r="A79">
        <v>78</v>
      </c>
      <c r="L79">
        <f t="shared" si="29"/>
        <v>2.8945008117526477E+44</v>
      </c>
      <c r="M79">
        <f t="shared" si="30"/>
        <v>2.8945008117526477E+44</v>
      </c>
    </row>
    <row r="80" spans="1:13">
      <c r="A80">
        <v>79</v>
      </c>
      <c r="L80">
        <f t="shared" si="29"/>
        <v>1.1363595779473358E+45</v>
      </c>
      <c r="M80">
        <f t="shared" si="30"/>
        <v>1.1363595779473358E+45</v>
      </c>
    </row>
    <row r="81" spans="1:13">
      <c r="A81">
        <v>80</v>
      </c>
      <c r="L81">
        <f t="shared" si="29"/>
        <v>4.4622900499883186E+45</v>
      </c>
      <c r="M81">
        <f t="shared" si="30"/>
        <v>4.4622900499883186E+45</v>
      </c>
    </row>
    <row r="82" spans="1:13">
      <c r="A82">
        <v>81</v>
      </c>
      <c r="L82">
        <f t="shared" si="29"/>
        <v>1.7526585015616769E+46</v>
      </c>
      <c r="M82">
        <f t="shared" si="30"/>
        <v>1.7526585015616769E+46</v>
      </c>
    </row>
    <row r="83" spans="1:13">
      <c r="A83">
        <v>82</v>
      </c>
      <c r="L83">
        <f t="shared" si="29"/>
        <v>6.8854441132780167E+46</v>
      </c>
      <c r="M83">
        <f t="shared" si="30"/>
        <v>6.8854441132780167E+46</v>
      </c>
    </row>
    <row r="84" spans="1:13">
      <c r="A84">
        <v>83</v>
      </c>
      <c r="L84">
        <f t="shared" si="29"/>
        <v>2.70557451039395E+47</v>
      </c>
      <c r="M84">
        <f t="shared" si="30"/>
        <v>2.70557451039395E+47</v>
      </c>
    </row>
    <row r="85" spans="1:13">
      <c r="A85">
        <v>84</v>
      </c>
      <c r="L85">
        <f t="shared" si="29"/>
        <v>1.0633537029222734E+48</v>
      </c>
      <c r="M85">
        <f t="shared" si="30"/>
        <v>1.0633537029222734E+48</v>
      </c>
    </row>
    <row r="86" spans="1:13">
      <c r="A86">
        <v>85</v>
      </c>
      <c r="L86">
        <f t="shared" si="29"/>
        <v>4.1800800735565232E+48</v>
      </c>
      <c r="M86">
        <f t="shared" si="30"/>
        <v>4.1800800735565232E+48</v>
      </c>
    </row>
    <row r="87" spans="1:13">
      <c r="A87">
        <v>86</v>
      </c>
      <c r="L87">
        <f t="shared" si="29"/>
        <v>1.643531483466542E+49</v>
      </c>
      <c r="M87">
        <f t="shared" si="30"/>
        <v>1.643531483466542E+49</v>
      </c>
    </row>
    <row r="88" spans="1:13">
      <c r="A88">
        <v>87</v>
      </c>
      <c r="L88">
        <f t="shared" si="29"/>
        <v>6.4633260585762887E+49</v>
      </c>
      <c r="M88">
        <f t="shared" si="30"/>
        <v>6.4633260585762887E+49</v>
      </c>
    </row>
    <row r="89" spans="1:13">
      <c r="A89">
        <v>88</v>
      </c>
      <c r="L89">
        <f t="shared" si="29"/>
        <v>2.542241583040007E+50</v>
      </c>
      <c r="M89">
        <f t="shared" si="30"/>
        <v>2.542241583040007E+50</v>
      </c>
    </row>
    <row r="90" spans="1:13">
      <c r="A90">
        <v>89</v>
      </c>
      <c r="L90">
        <f t="shared" si="29"/>
        <v>1.0001346008003544E+51</v>
      </c>
      <c r="M90">
        <f t="shared" si="30"/>
        <v>1.0001346008003544E+51</v>
      </c>
    </row>
    <row r="91" spans="1:13">
      <c r="A91">
        <v>90</v>
      </c>
      <c r="L91">
        <f t="shared" si="29"/>
        <v>3.9353122335840034E+51</v>
      </c>
      <c r="M91">
        <f t="shared" si="30"/>
        <v>3.9353122335840034E+51</v>
      </c>
    </row>
    <row r="92" spans="1:13">
      <c r="A92">
        <v>91</v>
      </c>
      <c r="L92">
        <f t="shared" si="29"/>
        <v>1.5487357822491885E+52</v>
      </c>
      <c r="M92">
        <f t="shared" si="30"/>
        <v>1.5487357822491885E+52</v>
      </c>
    </row>
    <row r="93" spans="1:13">
      <c r="A93">
        <v>92</v>
      </c>
      <c r="L93">
        <f t="shared" si="29"/>
        <v>6.0960876535340404E+52</v>
      </c>
      <c r="M93">
        <f t="shared" si="30"/>
        <v>6.0960876535340404E+52</v>
      </c>
    </row>
    <row r="94" spans="1:13">
      <c r="A94">
        <v>93</v>
      </c>
      <c r="L94">
        <f t="shared" si="29"/>
        <v>2.3999334551807694E+53</v>
      </c>
      <c r="M94">
        <f t="shared" si="30"/>
        <v>2.3999334551807694E+53</v>
      </c>
    </row>
    <row r="95" spans="1:13">
      <c r="A95">
        <v>94</v>
      </c>
      <c r="L95">
        <f t="shared" si="29"/>
        <v>9.4497379797742801E+53</v>
      </c>
      <c r="M95">
        <f t="shared" si="30"/>
        <v>9.4497379797742801E+53</v>
      </c>
    </row>
    <row r="96" spans="1:13">
      <c r="A96">
        <v>95</v>
      </c>
      <c r="L96">
        <f t="shared" si="29"/>
        <v>3.7214432044059534E+54</v>
      </c>
      <c r="M96">
        <f t="shared" si="30"/>
        <v>3.7214432044059534E+54</v>
      </c>
    </row>
    <row r="97" spans="1:13">
      <c r="A97">
        <v>96</v>
      </c>
      <c r="L97">
        <f t="shared" si="29"/>
        <v>1.465792935612957E+55</v>
      </c>
      <c r="M97">
        <f t="shared" si="30"/>
        <v>1.465792935612957E+55</v>
      </c>
    </row>
    <row r="98" spans="1:13">
      <c r="A98">
        <v>97</v>
      </c>
      <c r="L98">
        <f t="shared" si="29"/>
        <v>5.7743358069601333E+55</v>
      </c>
      <c r="M98">
        <f t="shared" si="30"/>
        <v>5.7743358069601333E+55</v>
      </c>
    </row>
    <row r="99" spans="1:13">
      <c r="A99">
        <v>98</v>
      </c>
      <c r="L99">
        <f t="shared" si="29"/>
        <v>2.2750883079422924E+56</v>
      </c>
      <c r="M99">
        <f t="shared" si="30"/>
        <v>2.2750883079422924E+56</v>
      </c>
    </row>
    <row r="100" spans="1:13">
      <c r="A100">
        <v>99</v>
      </c>
      <c r="L100">
        <f t="shared" si="29"/>
        <v>8.9651994709013098E+56</v>
      </c>
      <c r="M100">
        <f t="shared" si="30"/>
        <v>8.9651994709013098E+56</v>
      </c>
    </row>
    <row r="101" spans="1:13">
      <c r="A101">
        <v>100</v>
      </c>
      <c r="L101">
        <f t="shared" si="29"/>
        <v>3.5333433208846335E+57</v>
      </c>
      <c r="M101">
        <f t="shared" si="30"/>
        <v>3.5333433208846335E+57</v>
      </c>
    </row>
    <row r="102" spans="1:13">
      <c r="A102">
        <v>101</v>
      </c>
      <c r="L102">
        <f t="shared" ref="L102:L158" si="31">Catalan(A102)</f>
        <v>1.3927547459020981E+58</v>
      </c>
      <c r="M102">
        <f t="shared" si="30"/>
        <v>1.3927547459020981E+58</v>
      </c>
    </row>
    <row r="103" spans="1:13">
      <c r="A103">
        <v>102</v>
      </c>
      <c r="L103">
        <f t="shared" si="31"/>
        <v>5.4906677482678865E+58</v>
      </c>
      <c r="M103">
        <f t="shared" si="30"/>
        <v>5.4906677482678865E+58</v>
      </c>
    </row>
    <row r="104" spans="1:13">
      <c r="A104">
        <v>103</v>
      </c>
      <c r="L104">
        <f t="shared" si="31"/>
        <v>2.1648918550313382E+59</v>
      </c>
      <c r="M104">
        <f t="shared" si="30"/>
        <v>2.1648918550313382E+59</v>
      </c>
    </row>
    <row r="105" spans="1:13">
      <c r="A105">
        <v>104</v>
      </c>
      <c r="L105">
        <f t="shared" si="31"/>
        <v>8.5370263717273532E+59</v>
      </c>
      <c r="M105">
        <f t="shared" si="30"/>
        <v>8.5370263717273532E+59</v>
      </c>
    </row>
    <row r="106" spans="1:13">
      <c r="A106">
        <v>105</v>
      </c>
      <c r="L106">
        <f t="shared" si="31"/>
        <v>3.3669393727747129E+60</v>
      </c>
      <c r="M106">
        <f t="shared" si="30"/>
        <v>3.3669393727747129E+60</v>
      </c>
    </row>
    <row r="107" spans="1:13">
      <c r="A107">
        <v>106</v>
      </c>
      <c r="L107">
        <f t="shared" si="31"/>
        <v>1.328070530372248E+61</v>
      </c>
      <c r="M107">
        <f t="shared" si="30"/>
        <v>1.328070530372248E+61</v>
      </c>
    </row>
    <row r="108" spans="1:13">
      <c r="A108">
        <v>107</v>
      </c>
      <c r="L108">
        <f t="shared" si="31"/>
        <v>5.239177321651987E+61</v>
      </c>
      <c r="M108">
        <f t="shared" si="30"/>
        <v>5.239177321651987E+61</v>
      </c>
    </row>
    <row r="109" spans="1:13">
      <c r="A109">
        <v>108</v>
      </c>
      <c r="L109">
        <f t="shared" si="31"/>
        <v>2.0670935978154204E+62</v>
      </c>
      <c r="M109">
        <f t="shared" si="30"/>
        <v>2.0670935978154204E+62</v>
      </c>
    </row>
    <row r="110" spans="1:13">
      <c r="A110">
        <v>109</v>
      </c>
      <c r="L110">
        <f t="shared" si="31"/>
        <v>8.156639602190578E+62</v>
      </c>
      <c r="M110">
        <f t="shared" si="30"/>
        <v>8.156639602190578E+62</v>
      </c>
    </row>
    <row r="111" spans="1:13">
      <c r="A111">
        <v>110</v>
      </c>
      <c r="L111">
        <f t="shared" si="31"/>
        <v>3.2189595572930676E+63</v>
      </c>
      <c r="M111">
        <f t="shared" si="30"/>
        <v>3.2189595572930676E+63</v>
      </c>
    </row>
    <row r="112" spans="1:13">
      <c r="A112">
        <v>111</v>
      </c>
      <c r="L112">
        <f t="shared" si="31"/>
        <v>1.2704920022590338E+64</v>
      </c>
      <c r="M112">
        <f t="shared" si="30"/>
        <v>1.2704920022590338E+64</v>
      </c>
    </row>
    <row r="113" spans="1:13">
      <c r="A113">
        <v>112</v>
      </c>
      <c r="L113">
        <f t="shared" si="31"/>
        <v>5.0151000089172382E+64</v>
      </c>
      <c r="M113">
        <f t="shared" si="30"/>
        <v>5.0151000089172382E+64</v>
      </c>
    </row>
    <row r="114" spans="1:13">
      <c r="A114">
        <v>113</v>
      </c>
      <c r="L114">
        <f t="shared" si="31"/>
        <v>1.9798742643899357E+65</v>
      </c>
      <c r="M114">
        <f t="shared" si="30"/>
        <v>1.9798742643899357E+65</v>
      </c>
    </row>
    <row r="115" spans="1:13">
      <c r="A115">
        <v>114</v>
      </c>
      <c r="L115">
        <f t="shared" si="31"/>
        <v>7.8170897680223321E+65</v>
      </c>
      <c r="M115">
        <f t="shared" si="30"/>
        <v>7.8170897680223321E+65</v>
      </c>
    </row>
    <row r="116" spans="1:13">
      <c r="A116">
        <v>115</v>
      </c>
      <c r="L116">
        <f t="shared" si="31"/>
        <v>3.0867482673729208E+66</v>
      </c>
      <c r="M116">
        <f t="shared" si="30"/>
        <v>3.0867482673729208E+66</v>
      </c>
    </row>
    <row r="117" spans="1:13">
      <c r="A117">
        <v>116</v>
      </c>
      <c r="L117">
        <f t="shared" si="31"/>
        <v>1.2190039767760857E+67</v>
      </c>
      <c r="M117">
        <f t="shared" si="30"/>
        <v>1.2190039767760857E+67</v>
      </c>
    </row>
    <row r="118" spans="1:13">
      <c r="A118">
        <v>117</v>
      </c>
      <c r="L118">
        <f t="shared" si="31"/>
        <v>4.8145535217206746E+67</v>
      </c>
      <c r="M118">
        <f t="shared" si="30"/>
        <v>4.8145535217206746E+67</v>
      </c>
    </row>
    <row r="119" spans="1:13">
      <c r="A119">
        <v>118</v>
      </c>
      <c r="L119">
        <f t="shared" si="31"/>
        <v>1.9017486410796665E+68</v>
      </c>
      <c r="M119">
        <f t="shared" si="30"/>
        <v>1.9017486410796665E+68</v>
      </c>
    </row>
    <row r="120" spans="1:13">
      <c r="A120">
        <v>119</v>
      </c>
      <c r="L120">
        <f t="shared" si="31"/>
        <v>7.5126929788105833E+68</v>
      </c>
      <c r="M120">
        <f t="shared" si="30"/>
        <v>7.5126929788105833E+68</v>
      </c>
    </row>
    <row r="121" spans="1:13">
      <c r="A121">
        <v>120</v>
      </c>
      <c r="L121">
        <f t="shared" si="31"/>
        <v>2.9681295211366403E+69</v>
      </c>
      <c r="M121">
        <f t="shared" si="30"/>
        <v>2.9681295211366403E+69</v>
      </c>
    </row>
    <row r="122" spans="1:13">
      <c r="A122">
        <v>121</v>
      </c>
      <c r="L122">
        <f t="shared" si="31"/>
        <v>1.1727731278637457E+70</v>
      </c>
      <c r="M122">
        <f t="shared" si="30"/>
        <v>1.1727731278637457E+70</v>
      </c>
    </row>
    <row r="123" spans="1:13">
      <c r="A123">
        <v>122</v>
      </c>
      <c r="L123">
        <f t="shared" si="31"/>
        <v>4.6343454246228662E+70</v>
      </c>
      <c r="M123">
        <f t="shared" si="30"/>
        <v>4.6343454246228662E+70</v>
      </c>
    </row>
    <row r="124" spans="1:13">
      <c r="A124">
        <v>123</v>
      </c>
      <c r="L124">
        <f t="shared" si="31"/>
        <v>1.8314933118109568E+71</v>
      </c>
      <c r="M124">
        <f t="shared" si="30"/>
        <v>1.8314933118109568E+71</v>
      </c>
    </row>
    <row r="125" spans="1:13">
      <c r="A125">
        <v>124</v>
      </c>
      <c r="L125">
        <f t="shared" si="31"/>
        <v>7.238759280014734E+71</v>
      </c>
      <c r="M125">
        <f t="shared" si="30"/>
        <v>7.238759280014734E+71</v>
      </c>
    </row>
    <row r="126" spans="1:13">
      <c r="A126">
        <v>125</v>
      </c>
      <c r="L126">
        <f t="shared" si="31"/>
        <v>2.8613048492656664E+72</v>
      </c>
      <c r="M126">
        <f t="shared" si="30"/>
        <v>2.8613048492656664E+72</v>
      </c>
    </row>
    <row r="127" spans="1:13">
      <c r="A127">
        <v>126</v>
      </c>
      <c r="L127">
        <f t="shared" si="31"/>
        <v>1.1311095732253338E+73</v>
      </c>
      <c r="M127">
        <f t="shared" si="30"/>
        <v>1.1311095732253338E+73</v>
      </c>
    </row>
    <row r="128" spans="1:13">
      <c r="A128">
        <v>127</v>
      </c>
      <c r="L128">
        <f t="shared" si="31"/>
        <v>4.471828545309459E+73</v>
      </c>
      <c r="M128">
        <f t="shared" si="30"/>
        <v>4.471828545309459E+73</v>
      </c>
    </row>
    <row r="129" spans="1:13">
      <c r="A129">
        <v>128</v>
      </c>
      <c r="L129">
        <f t="shared" si="31"/>
        <v>1.7680922094531246E+74</v>
      </c>
      <c r="M129">
        <f t="shared" si="30"/>
        <v>1.7680922094531246E+74</v>
      </c>
    </row>
    <row r="130" spans="1:13">
      <c r="A130">
        <v>129</v>
      </c>
      <c r="L130">
        <f t="shared" si="31"/>
        <v>6.9913875152421267E+74</v>
      </c>
      <c r="M130">
        <f t="shared" ref="M130:M158" si="32">CatalanDer(A130)</f>
        <v>6.9913875152421267E+74</v>
      </c>
    </row>
    <row r="131" spans="1:13">
      <c r="A131">
        <v>130</v>
      </c>
      <c r="L131">
        <f t="shared" si="31"/>
        <v>2.7647759719366592E+75</v>
      </c>
      <c r="M131">
        <f t="shared" si="32"/>
        <v>2.7647759719366592E+75</v>
      </c>
    </row>
    <row r="132" spans="1:13">
      <c r="A132">
        <v>131</v>
      </c>
      <c r="L132">
        <f t="shared" si="31"/>
        <v>1.0934377152170548E+76</v>
      </c>
      <c r="M132">
        <f t="shared" si="32"/>
        <v>1.0934377152170548E+76</v>
      </c>
    </row>
    <row r="133" spans="1:13">
      <c r="A133">
        <v>132</v>
      </c>
      <c r="L133">
        <f t="shared" si="31"/>
        <v>4.3247909631719328E+76</v>
      </c>
      <c r="M133">
        <f t="shared" si="32"/>
        <v>4.3247909631719328E+76</v>
      </c>
    </row>
    <row r="134" spans="1:13">
      <c r="A134">
        <v>133</v>
      </c>
      <c r="L134">
        <f t="shared" si="31"/>
        <v>1.7106950920991202E+77</v>
      </c>
      <c r="M134">
        <f t="shared" si="32"/>
        <v>1.7106950920991202E+77</v>
      </c>
    </row>
    <row r="135" spans="1:13">
      <c r="A135">
        <v>134</v>
      </c>
      <c r="L135">
        <f t="shared" si="31"/>
        <v>6.76730852609799E+77</v>
      </c>
      <c r="M135">
        <f t="shared" si="32"/>
        <v>6.76730852609799E+77</v>
      </c>
    </row>
    <row r="136" spans="1:13">
      <c r="A136">
        <v>135</v>
      </c>
      <c r="L136">
        <f t="shared" si="31"/>
        <v>2.6772855628796429E+78</v>
      </c>
      <c r="M136">
        <f t="shared" si="32"/>
        <v>2.6772855628796429E+78</v>
      </c>
    </row>
    <row r="137" spans="1:13">
      <c r="A137">
        <v>136</v>
      </c>
      <c r="L137">
        <f t="shared" si="31"/>
        <v>1.059273853139337E+79</v>
      </c>
      <c r="M137">
        <f t="shared" si="32"/>
        <v>1.059273853139337E+79</v>
      </c>
    </row>
    <row r="138" spans="1:13">
      <c r="A138">
        <v>137</v>
      </c>
      <c r="L138">
        <f t="shared" si="31"/>
        <v>4.1913713613427007E+79</v>
      </c>
      <c r="M138">
        <f t="shared" si="32"/>
        <v>4.1913713613427007E+79</v>
      </c>
    </row>
    <row r="139" spans="1:13">
      <c r="A139">
        <v>138</v>
      </c>
      <c r="L139">
        <f t="shared" si="31"/>
        <v>1.6585855244170401E+80</v>
      </c>
      <c r="M139">
        <f t="shared" si="32"/>
        <v>1.6585855244170401E+80</v>
      </c>
    </row>
    <row r="140" spans="1:13">
      <c r="A140">
        <v>139</v>
      </c>
      <c r="L140">
        <f t="shared" si="31"/>
        <v>6.5637639902461588E+80</v>
      </c>
      <c r="M140">
        <f t="shared" si="32"/>
        <v>6.5637639902461588E+80</v>
      </c>
    </row>
    <row r="141" spans="1:13">
      <c r="A141">
        <v>140</v>
      </c>
      <c r="L141">
        <f t="shared" si="31"/>
        <v>2.5977713820551701E+81</v>
      </c>
      <c r="M141">
        <f t="shared" si="32"/>
        <v>2.5977713820551701E+81</v>
      </c>
    </row>
    <row r="142" spans="1:13">
      <c r="A142">
        <v>141</v>
      </c>
      <c r="L142">
        <f t="shared" si="31"/>
        <v>1.0282088127575008E+82</v>
      </c>
      <c r="M142">
        <f t="shared" si="32"/>
        <v>1.0282088127575008E+82</v>
      </c>
    </row>
    <row r="143" spans="1:13">
      <c r="A143">
        <v>142</v>
      </c>
      <c r="L143">
        <f t="shared" si="31"/>
        <v>4.0699932171651075E+82</v>
      </c>
      <c r="M143">
        <f t="shared" si="32"/>
        <v>4.0699932171651075E+82</v>
      </c>
    </row>
    <row r="144" spans="1:13">
      <c r="A144">
        <v>143</v>
      </c>
      <c r="L144">
        <f t="shared" si="31"/>
        <v>1.6111559356226011E+83</v>
      </c>
      <c r="M144">
        <f t="shared" si="32"/>
        <v>1.6111559356226011E+83</v>
      </c>
    </row>
    <row r="145" spans="1:13">
      <c r="A145">
        <v>144</v>
      </c>
      <c r="L145">
        <f t="shared" si="31"/>
        <v>6.3784118547250924E+83</v>
      </c>
      <c r="M145">
        <f t="shared" si="32"/>
        <v>6.3784118547250924E+83</v>
      </c>
    </row>
    <row r="146" spans="1:13">
      <c r="A146">
        <v>145</v>
      </c>
      <c r="L146">
        <f t="shared" si="31"/>
        <v>2.5253304077891182E+84</v>
      </c>
      <c r="M146">
        <f t="shared" si="32"/>
        <v>2.5253304077891182E+84</v>
      </c>
    </row>
    <row r="147" spans="1:13">
      <c r="A147">
        <v>146</v>
      </c>
      <c r="L147">
        <f t="shared" si="31"/>
        <v>9.9989433713812378E+84</v>
      </c>
      <c r="M147">
        <f t="shared" si="32"/>
        <v>9.9989433713812378E+84</v>
      </c>
    </row>
    <row r="148" spans="1:13">
      <c r="A148">
        <v>147</v>
      </c>
      <c r="L148">
        <f t="shared" si="31"/>
        <v>3.959313147057E+85</v>
      </c>
      <c r="M148">
        <f t="shared" si="32"/>
        <v>3.959313147057E+85</v>
      </c>
    </row>
    <row r="149" spans="1:13">
      <c r="A149">
        <v>148</v>
      </c>
      <c r="L149">
        <f t="shared" si="31"/>
        <v>1.567888006234572E+86</v>
      </c>
      <c r="M149">
        <f t="shared" si="32"/>
        <v>1.567888006234572E+86</v>
      </c>
    </row>
    <row r="150" spans="1:13">
      <c r="A150">
        <v>149</v>
      </c>
      <c r="L150">
        <f t="shared" si="31"/>
        <v>6.2092518392600932E+86</v>
      </c>
      <c r="M150">
        <f t="shared" si="32"/>
        <v>6.2092518392600932E+86</v>
      </c>
    </row>
    <row r="151" spans="1:13">
      <c r="A151">
        <v>150</v>
      </c>
      <c r="L151">
        <f t="shared" si="31"/>
        <v>2.4591905310753788E+87</v>
      </c>
      <c r="M151">
        <f t="shared" si="32"/>
        <v>2.4591905310753788E+87</v>
      </c>
    </row>
    <row r="152" spans="1:13">
      <c r="A152">
        <v>151</v>
      </c>
      <c r="L152">
        <f t="shared" si="31"/>
        <v>9.7403232799456185E+87</v>
      </c>
      <c r="M152">
        <f t="shared" si="32"/>
        <v>9.7403232799456185E+87</v>
      </c>
    </row>
    <row r="153" spans="1:13">
      <c r="A153">
        <v>152</v>
      </c>
      <c r="L153">
        <f t="shared" si="31"/>
        <v>3.8581800004979395E+88</v>
      </c>
      <c r="M153">
        <f t="shared" si="32"/>
        <v>3.8581800004979395E+88</v>
      </c>
    </row>
    <row r="154" spans="1:13">
      <c r="A154">
        <v>153</v>
      </c>
      <c r="L154">
        <f t="shared" si="31"/>
        <v>1.5283371098746676E+89</v>
      </c>
      <c r="M154">
        <f t="shared" si="32"/>
        <v>1.5283371098746676E+89</v>
      </c>
    </row>
    <row r="155" spans="1:13">
      <c r="A155">
        <v>154</v>
      </c>
      <c r="L155">
        <f t="shared" si="31"/>
        <v>6.0545662429650294E+89</v>
      </c>
      <c r="M155">
        <f t="shared" si="32"/>
        <v>6.0545662429650294E+89</v>
      </c>
    </row>
    <row r="156" spans="1:13">
      <c r="A156">
        <v>155</v>
      </c>
      <c r="L156">
        <f t="shared" si="31"/>
        <v>2.3986880274676742E+90</v>
      </c>
      <c r="M156">
        <f t="shared" si="32"/>
        <v>2.3986880274676742E+90</v>
      </c>
    </row>
    <row r="157" spans="1:13">
      <c r="A157">
        <v>156</v>
      </c>
      <c r="L157">
        <f t="shared" si="31"/>
        <v>9.5036626911061019E+90</v>
      </c>
      <c r="M157">
        <f t="shared" si="32"/>
        <v>9.5036626911061019E+90</v>
      </c>
    </row>
    <row r="158" spans="1:13">
      <c r="A158">
        <v>157</v>
      </c>
      <c r="L158">
        <f t="shared" si="31"/>
        <v>3.7656021983627955E+91</v>
      </c>
      <c r="M158">
        <f t="shared" si="32"/>
        <v>3.7656021983627955E+91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I42"/>
  <sheetViews>
    <sheetView workbookViewId="0">
      <selection activeCell="L52" sqref="L52"/>
    </sheetView>
  </sheetViews>
  <sheetFormatPr defaultRowHeight="14.25"/>
  <cols>
    <col min="1" max="1" width="3.75" style="4" customWidth="1"/>
    <col min="2" max="9" width="23.875" customWidth="1"/>
  </cols>
  <sheetData>
    <row r="1" spans="1:9" ht="15.75" thickTop="1" thickBot="1">
      <c r="A1" s="5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3" t="s">
        <v>7</v>
      </c>
    </row>
    <row r="2" spans="1:9" ht="15" thickTop="1">
      <c r="A2" s="4">
        <v>0</v>
      </c>
      <c r="B2">
        <f>CatalanDer(A2)</f>
        <v>1</v>
      </c>
      <c r="C2">
        <f>PellDer(A2)</f>
        <v>0</v>
      </c>
      <c r="D2">
        <f>LucasDer(A2)</f>
        <v>2</v>
      </c>
      <c r="E2">
        <f>MotzkinDer(A2)</f>
        <v>1</v>
      </c>
      <c r="F2" s="1" t="s">
        <v>8</v>
      </c>
      <c r="G2" s="1" t="s">
        <v>8</v>
      </c>
      <c r="H2" s="1" t="s">
        <v>8</v>
      </c>
      <c r="I2" t="e">
        <f ca="1">ShroedrerDer(A2)</f>
        <v>#NAME?</v>
      </c>
    </row>
    <row r="3" spans="1:9">
      <c r="A3" s="4">
        <v>1</v>
      </c>
      <c r="B3">
        <f t="shared" ref="B3:B42" si="0">CatalanDer(A3)</f>
        <v>2</v>
      </c>
      <c r="C3">
        <f t="shared" ref="C3:C42" si="1">PellDer(A3)</f>
        <v>1</v>
      </c>
      <c r="D3">
        <f t="shared" ref="D3:D42" si="2">LucasDer(A3)</f>
        <v>1</v>
      </c>
      <c r="E3">
        <f t="shared" ref="E3:E42" si="3">MotzkinDer(A3)</f>
        <v>1</v>
      </c>
      <c r="F3">
        <f>HofstadterConwayDer(A3)</f>
        <v>1</v>
      </c>
      <c r="G3">
        <f>QHofstadterDer(A3)</f>
        <v>1</v>
      </c>
      <c r="H3" t="e">
        <f ca="1">MallowDer(A3)</f>
        <v>#NAME?</v>
      </c>
      <c r="I3" t="e">
        <f t="shared" ref="I3:I42" ca="1" si="4">ShroedrerDer(A3)</f>
        <v>#NAME?</v>
      </c>
    </row>
    <row r="4" spans="1:9">
      <c r="A4" s="4">
        <v>2</v>
      </c>
      <c r="B4">
        <f t="shared" si="0"/>
        <v>5</v>
      </c>
      <c r="C4">
        <f t="shared" si="1"/>
        <v>2</v>
      </c>
      <c r="D4">
        <f t="shared" si="2"/>
        <v>3</v>
      </c>
      <c r="E4">
        <f t="shared" si="3"/>
        <v>2</v>
      </c>
      <c r="F4">
        <f t="shared" ref="F4:F42" si="5">HofstadterConwayDer(A4)</f>
        <v>1</v>
      </c>
      <c r="G4">
        <f t="shared" ref="G4:G42" si="6">QHofstadterDer(A4)</f>
        <v>1</v>
      </c>
      <c r="H4" t="e">
        <f t="shared" ref="H4:H42" ca="1" si="7">MallowDer(A4)</f>
        <v>#NAME?</v>
      </c>
      <c r="I4" t="e">
        <f t="shared" ca="1" si="4"/>
        <v>#NAME?</v>
      </c>
    </row>
    <row r="5" spans="1:9">
      <c r="A5" s="4">
        <v>3</v>
      </c>
      <c r="B5">
        <f t="shared" si="0"/>
        <v>14</v>
      </c>
      <c r="C5">
        <f t="shared" si="1"/>
        <v>5</v>
      </c>
      <c r="D5">
        <f t="shared" si="2"/>
        <v>4</v>
      </c>
      <c r="E5">
        <f t="shared" si="3"/>
        <v>4</v>
      </c>
      <c r="F5">
        <f t="shared" si="5"/>
        <v>2</v>
      </c>
      <c r="G5">
        <f t="shared" si="6"/>
        <v>2</v>
      </c>
      <c r="H5" t="e">
        <f t="shared" ca="1" si="7"/>
        <v>#NAME?</v>
      </c>
      <c r="I5" t="e">
        <f t="shared" ca="1" si="4"/>
        <v>#NAME?</v>
      </c>
    </row>
    <row r="6" spans="1:9">
      <c r="A6" s="4">
        <v>4</v>
      </c>
      <c r="B6">
        <f t="shared" si="0"/>
        <v>42</v>
      </c>
      <c r="C6">
        <f t="shared" si="1"/>
        <v>12</v>
      </c>
      <c r="D6">
        <f t="shared" si="2"/>
        <v>7</v>
      </c>
      <c r="E6">
        <f t="shared" si="3"/>
        <v>9</v>
      </c>
      <c r="F6">
        <f t="shared" si="5"/>
        <v>2</v>
      </c>
      <c r="G6">
        <f t="shared" si="6"/>
        <v>3</v>
      </c>
      <c r="H6" t="e">
        <f t="shared" ca="1" si="7"/>
        <v>#NAME?</v>
      </c>
      <c r="I6" t="e">
        <f t="shared" ca="1" si="4"/>
        <v>#NAME?</v>
      </c>
    </row>
    <row r="7" spans="1:9">
      <c r="A7" s="4">
        <v>5</v>
      </c>
      <c r="B7">
        <f t="shared" si="0"/>
        <v>132</v>
      </c>
      <c r="C7">
        <f t="shared" si="1"/>
        <v>29</v>
      </c>
      <c r="D7">
        <f t="shared" si="2"/>
        <v>11</v>
      </c>
      <c r="E7">
        <f t="shared" si="3"/>
        <v>21</v>
      </c>
      <c r="F7">
        <f t="shared" si="5"/>
        <v>3</v>
      </c>
      <c r="G7">
        <f t="shared" si="6"/>
        <v>3</v>
      </c>
      <c r="H7" t="e">
        <f t="shared" ca="1" si="7"/>
        <v>#NAME?</v>
      </c>
      <c r="I7" t="e">
        <f t="shared" ca="1" si="4"/>
        <v>#NAME?</v>
      </c>
    </row>
    <row r="8" spans="1:9">
      <c r="A8" s="4">
        <v>6</v>
      </c>
      <c r="B8">
        <f t="shared" si="0"/>
        <v>429</v>
      </c>
      <c r="C8">
        <f t="shared" si="1"/>
        <v>70</v>
      </c>
      <c r="D8">
        <f t="shared" si="2"/>
        <v>18</v>
      </c>
      <c r="E8">
        <f t="shared" si="3"/>
        <v>51</v>
      </c>
      <c r="F8">
        <f t="shared" si="5"/>
        <v>4</v>
      </c>
      <c r="G8">
        <f t="shared" si="6"/>
        <v>4</v>
      </c>
      <c r="H8" t="e">
        <f t="shared" ca="1" si="7"/>
        <v>#NAME?</v>
      </c>
      <c r="I8" t="e">
        <f t="shared" ca="1" si="4"/>
        <v>#NAME?</v>
      </c>
    </row>
    <row r="9" spans="1:9">
      <c r="A9" s="4">
        <v>7</v>
      </c>
      <c r="B9">
        <f t="shared" si="0"/>
        <v>1430</v>
      </c>
      <c r="C9">
        <f t="shared" si="1"/>
        <v>169</v>
      </c>
      <c r="D9">
        <f t="shared" si="2"/>
        <v>29</v>
      </c>
      <c r="E9">
        <f t="shared" si="3"/>
        <v>127</v>
      </c>
      <c r="F9">
        <f t="shared" si="5"/>
        <v>4</v>
      </c>
      <c r="G9">
        <f t="shared" si="6"/>
        <v>5</v>
      </c>
      <c r="H9" t="e">
        <f t="shared" ca="1" si="7"/>
        <v>#NAME?</v>
      </c>
      <c r="I9" t="e">
        <f t="shared" ca="1" si="4"/>
        <v>#NAME?</v>
      </c>
    </row>
    <row r="10" spans="1:9">
      <c r="A10" s="4">
        <v>8</v>
      </c>
      <c r="B10">
        <f t="shared" si="0"/>
        <v>4862</v>
      </c>
      <c r="C10">
        <f t="shared" si="1"/>
        <v>408</v>
      </c>
      <c r="D10">
        <f t="shared" si="2"/>
        <v>47</v>
      </c>
      <c r="E10">
        <f t="shared" si="3"/>
        <v>323</v>
      </c>
      <c r="F10">
        <f t="shared" si="5"/>
        <v>4</v>
      </c>
      <c r="G10">
        <f t="shared" si="6"/>
        <v>5</v>
      </c>
      <c r="H10" t="e">
        <f t="shared" ca="1" si="7"/>
        <v>#NAME?</v>
      </c>
      <c r="I10" t="e">
        <f t="shared" ca="1" si="4"/>
        <v>#NAME?</v>
      </c>
    </row>
    <row r="11" spans="1:9">
      <c r="A11" s="4">
        <v>9</v>
      </c>
      <c r="B11">
        <f t="shared" si="0"/>
        <v>16796</v>
      </c>
      <c r="C11">
        <f t="shared" si="1"/>
        <v>985</v>
      </c>
      <c r="D11">
        <f t="shared" si="2"/>
        <v>76</v>
      </c>
      <c r="E11">
        <f t="shared" si="3"/>
        <v>835</v>
      </c>
      <c r="F11">
        <f t="shared" si="5"/>
        <v>5</v>
      </c>
      <c r="G11">
        <f t="shared" si="6"/>
        <v>6</v>
      </c>
      <c r="H11" t="e">
        <f t="shared" ca="1" si="7"/>
        <v>#NAME?</v>
      </c>
      <c r="I11" t="e">
        <f t="shared" ca="1" si="4"/>
        <v>#NAME?</v>
      </c>
    </row>
    <row r="12" spans="1:9">
      <c r="A12" s="4">
        <v>10</v>
      </c>
      <c r="B12">
        <f t="shared" si="0"/>
        <v>58786</v>
      </c>
      <c r="C12">
        <f t="shared" si="1"/>
        <v>2378</v>
      </c>
      <c r="D12">
        <f t="shared" si="2"/>
        <v>123</v>
      </c>
      <c r="E12">
        <f t="shared" si="3"/>
        <v>2188</v>
      </c>
      <c r="F12">
        <f t="shared" si="5"/>
        <v>6</v>
      </c>
      <c r="G12">
        <f t="shared" si="6"/>
        <v>6</v>
      </c>
      <c r="H12" t="e">
        <f t="shared" ca="1" si="7"/>
        <v>#NAME?</v>
      </c>
      <c r="I12" t="e">
        <f t="shared" ca="1" si="4"/>
        <v>#NAME?</v>
      </c>
    </row>
    <row r="13" spans="1:9">
      <c r="A13" s="4">
        <v>11</v>
      </c>
      <c r="B13">
        <f t="shared" si="0"/>
        <v>208012</v>
      </c>
      <c r="C13">
        <f t="shared" si="1"/>
        <v>5741</v>
      </c>
      <c r="D13">
        <f t="shared" si="2"/>
        <v>199</v>
      </c>
      <c r="E13">
        <f t="shared" si="3"/>
        <v>5798</v>
      </c>
      <c r="F13">
        <f t="shared" si="5"/>
        <v>7</v>
      </c>
      <c r="G13">
        <f t="shared" si="6"/>
        <v>6</v>
      </c>
      <c r="H13" t="e">
        <f t="shared" ca="1" si="7"/>
        <v>#NAME?</v>
      </c>
      <c r="I13" t="e">
        <f t="shared" ca="1" si="4"/>
        <v>#NAME?</v>
      </c>
    </row>
    <row r="14" spans="1:9">
      <c r="A14" s="4">
        <v>12</v>
      </c>
      <c r="B14">
        <f t="shared" si="0"/>
        <v>742900</v>
      </c>
      <c r="C14">
        <f t="shared" si="1"/>
        <v>13860</v>
      </c>
      <c r="D14">
        <f t="shared" si="2"/>
        <v>322</v>
      </c>
      <c r="E14">
        <f t="shared" si="3"/>
        <v>15511</v>
      </c>
      <c r="F14">
        <f t="shared" si="5"/>
        <v>7</v>
      </c>
      <c r="G14">
        <f t="shared" si="6"/>
        <v>8</v>
      </c>
      <c r="H14" t="e">
        <f t="shared" ca="1" si="7"/>
        <v>#NAME?</v>
      </c>
      <c r="I14" t="e">
        <f t="shared" ca="1" si="4"/>
        <v>#NAME?</v>
      </c>
    </row>
    <row r="15" spans="1:9">
      <c r="A15" s="4">
        <v>13</v>
      </c>
      <c r="B15">
        <f t="shared" si="0"/>
        <v>2674440</v>
      </c>
      <c r="C15">
        <f t="shared" si="1"/>
        <v>33461</v>
      </c>
      <c r="D15">
        <f t="shared" si="2"/>
        <v>521</v>
      </c>
      <c r="E15">
        <f t="shared" si="3"/>
        <v>41835</v>
      </c>
      <c r="F15">
        <f t="shared" si="5"/>
        <v>8</v>
      </c>
      <c r="G15">
        <f t="shared" si="6"/>
        <v>8</v>
      </c>
      <c r="H15" t="e">
        <f t="shared" ca="1" si="7"/>
        <v>#NAME?</v>
      </c>
      <c r="I15" t="e">
        <f t="shared" ca="1" si="4"/>
        <v>#NAME?</v>
      </c>
    </row>
    <row r="16" spans="1:9">
      <c r="A16" s="4">
        <v>14</v>
      </c>
      <c r="B16">
        <f t="shared" si="0"/>
        <v>9694845</v>
      </c>
      <c r="C16">
        <f t="shared" si="1"/>
        <v>80782</v>
      </c>
      <c r="D16">
        <f t="shared" si="2"/>
        <v>843</v>
      </c>
      <c r="E16">
        <f t="shared" si="3"/>
        <v>113634</v>
      </c>
      <c r="F16">
        <f t="shared" si="5"/>
        <v>8</v>
      </c>
      <c r="G16">
        <f t="shared" si="6"/>
        <v>8</v>
      </c>
      <c r="H16" t="e">
        <f t="shared" ca="1" si="7"/>
        <v>#NAME?</v>
      </c>
      <c r="I16" t="e">
        <f t="shared" ca="1" si="4"/>
        <v>#NAME?</v>
      </c>
    </row>
    <row r="17" spans="1:9">
      <c r="A17" s="4">
        <v>15</v>
      </c>
      <c r="B17">
        <f t="shared" si="0"/>
        <v>35357670</v>
      </c>
      <c r="C17">
        <f t="shared" si="1"/>
        <v>195025</v>
      </c>
      <c r="D17">
        <f t="shared" si="2"/>
        <v>1364</v>
      </c>
      <c r="E17">
        <f t="shared" si="3"/>
        <v>310572</v>
      </c>
      <c r="F17">
        <f t="shared" si="5"/>
        <v>8</v>
      </c>
      <c r="G17">
        <f t="shared" si="6"/>
        <v>10</v>
      </c>
      <c r="H17" t="e">
        <f t="shared" ca="1" si="7"/>
        <v>#NAME?</v>
      </c>
      <c r="I17" t="e">
        <f t="shared" ca="1" si="4"/>
        <v>#NAME?</v>
      </c>
    </row>
    <row r="18" spans="1:9">
      <c r="A18" s="4">
        <v>16</v>
      </c>
      <c r="B18">
        <f t="shared" si="0"/>
        <v>129644790</v>
      </c>
      <c r="C18">
        <f t="shared" si="1"/>
        <v>470832</v>
      </c>
      <c r="D18">
        <f t="shared" si="2"/>
        <v>2207</v>
      </c>
      <c r="E18">
        <f t="shared" si="3"/>
        <v>853467</v>
      </c>
      <c r="F18">
        <f t="shared" si="5"/>
        <v>8</v>
      </c>
      <c r="G18">
        <f t="shared" si="6"/>
        <v>9</v>
      </c>
      <c r="H18" t="e">
        <f t="shared" ca="1" si="7"/>
        <v>#NAME?</v>
      </c>
      <c r="I18" t="e">
        <f t="shared" ca="1" si="4"/>
        <v>#NAME?</v>
      </c>
    </row>
    <row r="19" spans="1:9">
      <c r="A19" s="4">
        <v>17</v>
      </c>
      <c r="B19">
        <f t="shared" si="0"/>
        <v>477638700</v>
      </c>
      <c r="C19">
        <f t="shared" si="1"/>
        <v>1136689</v>
      </c>
      <c r="D19">
        <f t="shared" si="2"/>
        <v>3571</v>
      </c>
      <c r="E19">
        <f t="shared" si="3"/>
        <v>2356779</v>
      </c>
      <c r="F19">
        <f t="shared" si="5"/>
        <v>9</v>
      </c>
      <c r="G19">
        <f t="shared" si="6"/>
        <v>10</v>
      </c>
      <c r="H19" t="e">
        <f t="shared" ca="1" si="7"/>
        <v>#NAME?</v>
      </c>
      <c r="I19" t="e">
        <f t="shared" ca="1" si="4"/>
        <v>#NAME?</v>
      </c>
    </row>
    <row r="20" spans="1:9">
      <c r="A20" s="4">
        <v>18</v>
      </c>
      <c r="B20">
        <f t="shared" si="0"/>
        <v>1767263190</v>
      </c>
      <c r="C20">
        <f t="shared" si="1"/>
        <v>2744210</v>
      </c>
      <c r="D20">
        <f t="shared" si="2"/>
        <v>5778</v>
      </c>
      <c r="E20">
        <f t="shared" si="3"/>
        <v>6536382</v>
      </c>
      <c r="F20">
        <f t="shared" si="5"/>
        <v>10</v>
      </c>
      <c r="G20">
        <f t="shared" si="6"/>
        <v>11</v>
      </c>
      <c r="H20" t="e">
        <f t="shared" ca="1" si="7"/>
        <v>#NAME?</v>
      </c>
      <c r="I20" t="e">
        <f t="shared" ca="1" si="4"/>
        <v>#NAME?</v>
      </c>
    </row>
    <row r="21" spans="1:9">
      <c r="A21" s="4">
        <v>19</v>
      </c>
      <c r="B21">
        <f t="shared" si="0"/>
        <v>6564120420</v>
      </c>
      <c r="C21">
        <f t="shared" si="1"/>
        <v>6625109</v>
      </c>
      <c r="D21">
        <f t="shared" si="2"/>
        <v>9349</v>
      </c>
      <c r="E21">
        <f t="shared" si="3"/>
        <v>18199284</v>
      </c>
      <c r="F21">
        <f t="shared" si="5"/>
        <v>11</v>
      </c>
      <c r="G21">
        <f t="shared" si="6"/>
        <v>11</v>
      </c>
      <c r="H21" t="e">
        <f t="shared" ca="1" si="7"/>
        <v>#NAME?</v>
      </c>
      <c r="I21" t="e">
        <f t="shared" ca="1" si="4"/>
        <v>#NAME?</v>
      </c>
    </row>
    <row r="22" spans="1:9">
      <c r="A22" s="4">
        <v>20</v>
      </c>
      <c r="B22">
        <f t="shared" si="0"/>
        <v>24466267020</v>
      </c>
      <c r="C22">
        <f t="shared" si="1"/>
        <v>15994428</v>
      </c>
      <c r="D22">
        <f t="shared" si="2"/>
        <v>15127</v>
      </c>
      <c r="E22">
        <f t="shared" si="3"/>
        <v>50852019</v>
      </c>
      <c r="F22">
        <f t="shared" si="5"/>
        <v>12</v>
      </c>
      <c r="G22">
        <f t="shared" si="6"/>
        <v>12</v>
      </c>
      <c r="H22" t="e">
        <f t="shared" ca="1" si="7"/>
        <v>#NAME?</v>
      </c>
      <c r="I22" t="e">
        <f t="shared" ca="1" si="4"/>
        <v>#NAME?</v>
      </c>
    </row>
    <row r="23" spans="1:9">
      <c r="A23" s="4">
        <v>21</v>
      </c>
      <c r="B23">
        <f t="shared" si="0"/>
        <v>91482563640</v>
      </c>
      <c r="C23">
        <f t="shared" si="1"/>
        <v>38613965</v>
      </c>
      <c r="D23">
        <f t="shared" si="2"/>
        <v>24476</v>
      </c>
      <c r="E23">
        <f t="shared" si="3"/>
        <v>142547559</v>
      </c>
      <c r="F23">
        <f t="shared" si="5"/>
        <v>12</v>
      </c>
      <c r="G23">
        <f t="shared" si="6"/>
        <v>12</v>
      </c>
      <c r="H23" t="e">
        <f t="shared" ca="1" si="7"/>
        <v>#NAME?</v>
      </c>
      <c r="I23" t="e">
        <f t="shared" ca="1" si="4"/>
        <v>#NAME?</v>
      </c>
    </row>
    <row r="24" spans="1:9">
      <c r="A24" s="4">
        <v>22</v>
      </c>
      <c r="B24">
        <f t="shared" si="0"/>
        <v>343059613650</v>
      </c>
      <c r="C24">
        <f t="shared" si="1"/>
        <v>93222358</v>
      </c>
      <c r="D24">
        <f t="shared" si="2"/>
        <v>39603</v>
      </c>
      <c r="E24">
        <f t="shared" si="3"/>
        <v>400763223</v>
      </c>
      <c r="F24">
        <f t="shared" si="5"/>
        <v>13</v>
      </c>
      <c r="G24">
        <f t="shared" si="6"/>
        <v>12</v>
      </c>
      <c r="H24" t="e">
        <f t="shared" ca="1" si="7"/>
        <v>#NAME?</v>
      </c>
      <c r="I24" t="e">
        <f t="shared" ca="1" si="4"/>
        <v>#NAME?</v>
      </c>
    </row>
    <row r="25" spans="1:9">
      <c r="A25" s="4">
        <v>23</v>
      </c>
      <c r="B25">
        <f t="shared" si="0"/>
        <v>1289904147324</v>
      </c>
      <c r="C25">
        <f t="shared" si="1"/>
        <v>225058681</v>
      </c>
      <c r="D25">
        <f t="shared" si="2"/>
        <v>64079</v>
      </c>
      <c r="E25">
        <f t="shared" si="3"/>
        <v>1129760415</v>
      </c>
      <c r="F25">
        <f t="shared" si="5"/>
        <v>14</v>
      </c>
      <c r="G25">
        <f t="shared" si="6"/>
        <v>12</v>
      </c>
      <c r="H25" t="e">
        <f t="shared" ca="1" si="7"/>
        <v>#NAME?</v>
      </c>
      <c r="I25" t="e">
        <f t="shared" ca="1" si="4"/>
        <v>#NAME?</v>
      </c>
    </row>
    <row r="26" spans="1:9">
      <c r="A26" s="4">
        <v>24</v>
      </c>
      <c r="B26">
        <f t="shared" si="0"/>
        <v>4861946401452</v>
      </c>
      <c r="C26">
        <f t="shared" si="1"/>
        <v>543339720</v>
      </c>
      <c r="D26">
        <f t="shared" si="2"/>
        <v>103682</v>
      </c>
      <c r="E26">
        <f t="shared" si="3"/>
        <v>3192727797</v>
      </c>
      <c r="F26">
        <f t="shared" si="5"/>
        <v>14</v>
      </c>
      <c r="G26">
        <f t="shared" si="6"/>
        <v>16</v>
      </c>
      <c r="H26" t="e">
        <f t="shared" ca="1" si="7"/>
        <v>#NAME?</v>
      </c>
      <c r="I26" t="e">
        <f t="shared" ca="1" si="4"/>
        <v>#NAME?</v>
      </c>
    </row>
    <row r="27" spans="1:9">
      <c r="A27" s="4">
        <v>25</v>
      </c>
      <c r="B27">
        <f t="shared" si="0"/>
        <v>18367353072152</v>
      </c>
      <c r="C27">
        <f t="shared" si="1"/>
        <v>1311738121</v>
      </c>
      <c r="D27">
        <f t="shared" si="2"/>
        <v>167761</v>
      </c>
      <c r="E27">
        <f t="shared" si="3"/>
        <v>9043402501</v>
      </c>
      <c r="F27">
        <f t="shared" si="5"/>
        <v>15</v>
      </c>
      <c r="G27">
        <f t="shared" si="6"/>
        <v>14</v>
      </c>
      <c r="H27" t="e">
        <f t="shared" ca="1" si="7"/>
        <v>#NAME?</v>
      </c>
      <c r="I27" t="e">
        <f t="shared" ca="1" si="4"/>
        <v>#NAME?</v>
      </c>
    </row>
    <row r="28" spans="1:9">
      <c r="A28" s="4">
        <v>26</v>
      </c>
      <c r="B28">
        <f t="shared" si="0"/>
        <v>69533550916004</v>
      </c>
      <c r="C28">
        <f t="shared" si="1"/>
        <v>3166815962</v>
      </c>
      <c r="D28">
        <f t="shared" si="2"/>
        <v>271443</v>
      </c>
      <c r="E28">
        <f t="shared" si="3"/>
        <v>25669818476</v>
      </c>
      <c r="F28">
        <f t="shared" si="5"/>
        <v>15</v>
      </c>
      <c r="G28">
        <f t="shared" si="6"/>
        <v>14</v>
      </c>
      <c r="H28" t="e">
        <f t="shared" ca="1" si="7"/>
        <v>#NAME?</v>
      </c>
      <c r="I28" t="e">
        <f t="shared" ca="1" si="4"/>
        <v>#NAME?</v>
      </c>
    </row>
    <row r="29" spans="1:9">
      <c r="A29" s="4">
        <v>27</v>
      </c>
      <c r="B29">
        <f t="shared" si="0"/>
        <v>263747951750360</v>
      </c>
      <c r="C29">
        <f t="shared" si="1"/>
        <v>7645370045</v>
      </c>
      <c r="D29">
        <f t="shared" si="2"/>
        <v>439204</v>
      </c>
      <c r="E29">
        <f t="shared" si="3"/>
        <v>73007772802</v>
      </c>
      <c r="F29">
        <f t="shared" si="5"/>
        <v>15</v>
      </c>
      <c r="G29">
        <f t="shared" si="6"/>
        <v>16</v>
      </c>
      <c r="H29" t="e">
        <f t="shared" ca="1" si="7"/>
        <v>#NAME?</v>
      </c>
      <c r="I29" t="e">
        <f t="shared" ca="1" si="4"/>
        <v>#NAME?</v>
      </c>
    </row>
    <row r="30" spans="1:9">
      <c r="A30" s="4">
        <v>28</v>
      </c>
      <c r="B30">
        <f t="shared" si="0"/>
        <v>1002242216651368</v>
      </c>
      <c r="C30">
        <f t="shared" si="1"/>
        <v>18457556052</v>
      </c>
      <c r="D30">
        <f t="shared" si="2"/>
        <v>710647</v>
      </c>
      <c r="E30">
        <f t="shared" si="3"/>
        <v>208023278209</v>
      </c>
      <c r="F30">
        <f t="shared" si="5"/>
        <v>16</v>
      </c>
      <c r="G30">
        <f t="shared" si="6"/>
        <v>16</v>
      </c>
      <c r="H30" t="e">
        <f t="shared" ca="1" si="7"/>
        <v>#NAME?</v>
      </c>
      <c r="I30" t="e">
        <f t="shared" ca="1" si="4"/>
        <v>#NAME?</v>
      </c>
    </row>
    <row r="31" spans="1:9">
      <c r="A31" s="4">
        <v>29</v>
      </c>
      <c r="B31">
        <f t="shared" si="0"/>
        <v>3814986502092304</v>
      </c>
      <c r="C31">
        <f t="shared" si="1"/>
        <v>44560482149</v>
      </c>
      <c r="D31">
        <f t="shared" si="2"/>
        <v>1149851</v>
      </c>
      <c r="E31">
        <f t="shared" si="3"/>
        <v>593742784829</v>
      </c>
      <c r="F31">
        <f t="shared" si="5"/>
        <v>16</v>
      </c>
      <c r="G31">
        <f t="shared" si="6"/>
        <v>16</v>
      </c>
      <c r="H31" t="e">
        <f t="shared" ca="1" si="7"/>
        <v>#NAME?</v>
      </c>
      <c r="I31" t="e">
        <f t="shared" ca="1" si="4"/>
        <v>#NAME?</v>
      </c>
    </row>
    <row r="32" spans="1:9">
      <c r="A32" s="4">
        <v>30</v>
      </c>
      <c r="B32">
        <f t="shared" si="0"/>
        <v>1.4544636039226908E+16</v>
      </c>
      <c r="C32">
        <f t="shared" si="1"/>
        <v>107578520350</v>
      </c>
      <c r="D32">
        <f t="shared" si="2"/>
        <v>1860498</v>
      </c>
      <c r="E32">
        <f t="shared" si="3"/>
        <v>1697385471211</v>
      </c>
      <c r="F32">
        <f t="shared" si="5"/>
        <v>16</v>
      </c>
      <c r="G32">
        <f t="shared" si="6"/>
        <v>16</v>
      </c>
      <c r="H32" t="e">
        <f t="shared" ca="1" si="7"/>
        <v>#NAME?</v>
      </c>
      <c r="I32" t="e">
        <f t="shared" ca="1" si="4"/>
        <v>#NAME?</v>
      </c>
    </row>
    <row r="33" spans="1:9">
      <c r="A33" s="4">
        <v>31</v>
      </c>
      <c r="B33">
        <f t="shared" si="0"/>
        <v>5.5534064877048192E+16</v>
      </c>
      <c r="C33">
        <f t="shared" si="1"/>
        <v>259717522849</v>
      </c>
      <c r="D33">
        <f t="shared" si="2"/>
        <v>3010349</v>
      </c>
      <c r="E33">
        <f t="shared" si="3"/>
        <v>4859761676391</v>
      </c>
      <c r="F33">
        <f t="shared" si="5"/>
        <v>16</v>
      </c>
      <c r="G33">
        <f t="shared" si="6"/>
        <v>20</v>
      </c>
      <c r="H33" t="e">
        <f t="shared" ca="1" si="7"/>
        <v>#NAME?</v>
      </c>
      <c r="I33" t="e">
        <f t="shared" ca="1" si="4"/>
        <v>#NAME?</v>
      </c>
    </row>
    <row r="34" spans="1:9">
      <c r="A34" s="4">
        <v>32</v>
      </c>
      <c r="B34">
        <f t="shared" si="0"/>
        <v>2.1233613041224307E+17</v>
      </c>
      <c r="C34">
        <f t="shared" si="1"/>
        <v>627013566048</v>
      </c>
      <c r="D34">
        <f t="shared" si="2"/>
        <v>4870847</v>
      </c>
      <c r="E34">
        <f t="shared" si="3"/>
        <v>13933569346707</v>
      </c>
      <c r="F34">
        <f t="shared" si="5"/>
        <v>16</v>
      </c>
      <c r="G34">
        <f t="shared" si="6"/>
        <v>17</v>
      </c>
      <c r="H34" t="e">
        <f t="shared" ca="1" si="7"/>
        <v>#NAME?</v>
      </c>
      <c r="I34" t="e">
        <f t="shared" ca="1" si="4"/>
        <v>#NAME?</v>
      </c>
    </row>
    <row r="35" spans="1:9">
      <c r="A35" s="4">
        <v>33</v>
      </c>
      <c r="B35">
        <f t="shared" si="0"/>
        <v>8.1294404214973056E+17</v>
      </c>
      <c r="C35">
        <f t="shared" si="1"/>
        <v>1513744654945</v>
      </c>
      <c r="D35">
        <f t="shared" si="2"/>
        <v>7881196</v>
      </c>
      <c r="E35">
        <f t="shared" si="3"/>
        <v>40002464776083</v>
      </c>
      <c r="F35">
        <f t="shared" si="5"/>
        <v>17</v>
      </c>
      <c r="G35">
        <f t="shared" si="6"/>
        <v>17</v>
      </c>
      <c r="H35" t="e">
        <f t="shared" ca="1" si="7"/>
        <v>#NAME?</v>
      </c>
      <c r="I35" t="e">
        <f t="shared" ca="1" si="4"/>
        <v>#NAME?</v>
      </c>
    </row>
    <row r="36" spans="1:9">
      <c r="A36" s="4">
        <v>34</v>
      </c>
      <c r="B36">
        <f t="shared" si="0"/>
        <v>3.1162854949073004E+18</v>
      </c>
      <c r="C36">
        <f t="shared" si="1"/>
        <v>3654502875938</v>
      </c>
      <c r="D36">
        <f t="shared" si="2"/>
        <v>12752043</v>
      </c>
      <c r="E36">
        <f t="shared" si="3"/>
        <v>114988706524270</v>
      </c>
      <c r="F36">
        <f t="shared" si="5"/>
        <v>18</v>
      </c>
      <c r="G36">
        <f t="shared" si="6"/>
        <v>20</v>
      </c>
      <c r="H36" t="e">
        <f t="shared" ca="1" si="7"/>
        <v>#NAME?</v>
      </c>
      <c r="I36" t="e">
        <f t="shared" ca="1" si="4"/>
        <v>#NAME?</v>
      </c>
    </row>
    <row r="37" spans="1:9">
      <c r="A37" s="4">
        <v>35</v>
      </c>
      <c r="B37">
        <f t="shared" si="0"/>
        <v>1.195979838586045E+19</v>
      </c>
      <c r="C37">
        <f t="shared" si="1"/>
        <v>8822750406821</v>
      </c>
      <c r="D37">
        <f t="shared" si="2"/>
        <v>20633239</v>
      </c>
      <c r="E37">
        <f t="shared" si="3"/>
        <v>330931069469828</v>
      </c>
      <c r="F37">
        <f t="shared" si="5"/>
        <v>19</v>
      </c>
      <c r="G37">
        <f t="shared" si="6"/>
        <v>21</v>
      </c>
      <c r="H37" t="e">
        <f t="shared" ca="1" si="7"/>
        <v>#NAME?</v>
      </c>
      <c r="I37" t="e">
        <f t="shared" ca="1" si="4"/>
        <v>#NAME?</v>
      </c>
    </row>
    <row r="38" spans="1:9">
      <c r="A38" s="4">
        <v>36</v>
      </c>
      <c r="B38">
        <f t="shared" si="0"/>
        <v>4.595080432462173E+19</v>
      </c>
      <c r="C38">
        <f t="shared" si="1"/>
        <v>21300003689580</v>
      </c>
      <c r="D38">
        <f t="shared" si="2"/>
        <v>33385282</v>
      </c>
      <c r="E38">
        <f t="shared" si="3"/>
        <v>953467954114363</v>
      </c>
      <c r="F38">
        <f t="shared" si="5"/>
        <v>20</v>
      </c>
      <c r="G38">
        <f t="shared" si="6"/>
        <v>19</v>
      </c>
      <c r="H38" t="e">
        <f t="shared" ca="1" si="7"/>
        <v>#NAME?</v>
      </c>
      <c r="I38" t="e">
        <f t="shared" ca="1" si="4"/>
        <v>#NAME?</v>
      </c>
    </row>
    <row r="39" spans="1:9">
      <c r="A39" s="4">
        <v>37</v>
      </c>
      <c r="B39">
        <f t="shared" si="0"/>
        <v>1.7673386278700666E+20</v>
      </c>
      <c r="C39">
        <f t="shared" si="1"/>
        <v>51422757785981</v>
      </c>
      <c r="D39">
        <f t="shared" si="2"/>
        <v>54018521</v>
      </c>
      <c r="E39">
        <f t="shared" si="3"/>
        <v>2750016719520991</v>
      </c>
      <c r="F39">
        <f t="shared" si="5"/>
        <v>21</v>
      </c>
      <c r="G39">
        <f t="shared" si="6"/>
        <v>20</v>
      </c>
      <c r="H39" t="e">
        <f t="shared" ca="1" si="7"/>
        <v>#NAME?</v>
      </c>
      <c r="I39" t="e">
        <f t="shared" ca="1" si="4"/>
        <v>#NAME?</v>
      </c>
    </row>
    <row r="40" spans="1:9">
      <c r="A40" s="4">
        <v>38</v>
      </c>
      <c r="B40">
        <f t="shared" si="0"/>
        <v>6.8042537172997571E+20</v>
      </c>
      <c r="C40">
        <f t="shared" si="1"/>
        <v>124145519261542</v>
      </c>
      <c r="D40">
        <f t="shared" si="2"/>
        <v>87403803</v>
      </c>
      <c r="E40">
        <f t="shared" si="3"/>
        <v>7939655757745265</v>
      </c>
      <c r="F40">
        <f t="shared" si="5"/>
        <v>21</v>
      </c>
      <c r="G40">
        <f t="shared" si="6"/>
        <v>22</v>
      </c>
      <c r="H40" t="e">
        <f t="shared" ca="1" si="7"/>
        <v>#NAME?</v>
      </c>
      <c r="I40" t="e">
        <f t="shared" ca="1" si="4"/>
        <v>#NAME?</v>
      </c>
    </row>
    <row r="41" spans="1:9">
      <c r="A41" s="4">
        <v>39</v>
      </c>
      <c r="B41">
        <f t="shared" si="0"/>
        <v>2.6221270422764918E+21</v>
      </c>
      <c r="C41">
        <f t="shared" si="1"/>
        <v>299713796309065</v>
      </c>
      <c r="D41">
        <f t="shared" si="2"/>
        <v>141422324</v>
      </c>
      <c r="E41">
        <f t="shared" si="3"/>
        <v>2.2944749046030948E+16</v>
      </c>
      <c r="F41">
        <f t="shared" si="5"/>
        <v>22</v>
      </c>
      <c r="G41">
        <f t="shared" si="6"/>
        <v>21</v>
      </c>
      <c r="H41" t="e">
        <f t="shared" ca="1" si="7"/>
        <v>#NAME?</v>
      </c>
      <c r="I41" t="e">
        <f t="shared" ca="1" si="4"/>
        <v>#NAME?</v>
      </c>
    </row>
    <row r="42" spans="1:9">
      <c r="A42" s="4">
        <v>40</v>
      </c>
      <c r="B42">
        <f t="shared" si="0"/>
        <v>1.0113918591637897E+22</v>
      </c>
      <c r="C42">
        <f t="shared" si="1"/>
        <v>723573111879672</v>
      </c>
      <c r="D42">
        <f t="shared" si="2"/>
        <v>228826127</v>
      </c>
      <c r="E42">
        <f t="shared" si="3"/>
        <v>6.6368199913921496E+16</v>
      </c>
      <c r="F42">
        <f t="shared" si="5"/>
        <v>23</v>
      </c>
      <c r="G42">
        <f t="shared" si="6"/>
        <v>22</v>
      </c>
      <c r="H42" t="e">
        <f t="shared" ca="1" si="7"/>
        <v>#NAME?</v>
      </c>
      <c r="I42" t="e">
        <f t="shared" ca="1" si="4"/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C35"/>
  <sheetViews>
    <sheetView workbookViewId="0">
      <selection activeCell="T10" sqref="T10"/>
    </sheetView>
  </sheetViews>
  <sheetFormatPr defaultRowHeight="14.25"/>
  <cols>
    <col min="2" max="2" width="15.875" customWidth="1"/>
    <col min="3" max="3" width="12.875" customWidth="1"/>
  </cols>
  <sheetData>
    <row r="1" spans="1:3">
      <c r="B1" s="6" t="s">
        <v>10</v>
      </c>
      <c r="C1" s="6"/>
    </row>
    <row r="2" spans="1:3">
      <c r="A2" t="s">
        <v>9</v>
      </c>
      <c r="B2" t="s">
        <v>11</v>
      </c>
      <c r="C2" t="s">
        <v>2</v>
      </c>
    </row>
    <row r="3" spans="1:3">
      <c r="A3">
        <v>1</v>
      </c>
      <c r="B3">
        <f>CountHC(A3)</f>
        <v>1</v>
      </c>
      <c r="C3">
        <f t="shared" ref="C3:C28" si="0">CountL(A3)</f>
        <v>1</v>
      </c>
    </row>
    <row r="4" spans="1:3">
      <c r="A4">
        <v>2</v>
      </c>
      <c r="B4">
        <f t="shared" ref="B4:B5" si="1">CountHC(A4)</f>
        <v>1</v>
      </c>
      <c r="C4">
        <f t="shared" si="0"/>
        <v>3</v>
      </c>
    </row>
    <row r="5" spans="1:3">
      <c r="A5">
        <v>3</v>
      </c>
      <c r="B5">
        <f t="shared" si="1"/>
        <v>5</v>
      </c>
      <c r="C5">
        <f t="shared" si="0"/>
        <v>5</v>
      </c>
    </row>
    <row r="6" spans="1:3">
      <c r="A6">
        <v>4</v>
      </c>
      <c r="B6">
        <f t="shared" ref="B6:B28" si="2">CountHC(A6)</f>
        <v>13</v>
      </c>
      <c r="C6">
        <f t="shared" si="0"/>
        <v>9</v>
      </c>
    </row>
    <row r="7" spans="1:3">
      <c r="A7">
        <v>5</v>
      </c>
      <c r="B7">
        <f t="shared" si="2"/>
        <v>33</v>
      </c>
      <c r="C7">
        <f t="shared" si="0"/>
        <v>15</v>
      </c>
    </row>
    <row r="8" spans="1:3">
      <c r="A8">
        <v>6</v>
      </c>
      <c r="B8">
        <f t="shared" si="2"/>
        <v>77</v>
      </c>
      <c r="C8">
        <f t="shared" si="0"/>
        <v>25</v>
      </c>
    </row>
    <row r="9" spans="1:3">
      <c r="A9">
        <v>7</v>
      </c>
      <c r="B9">
        <f t="shared" si="2"/>
        <v>173</v>
      </c>
      <c r="C9">
        <f t="shared" si="0"/>
        <v>41</v>
      </c>
    </row>
    <row r="10" spans="1:3">
      <c r="A10">
        <v>8</v>
      </c>
      <c r="B10">
        <f t="shared" si="2"/>
        <v>373</v>
      </c>
      <c r="C10">
        <f t="shared" si="0"/>
        <v>67</v>
      </c>
    </row>
    <row r="11" spans="1:3">
      <c r="A11">
        <v>9</v>
      </c>
      <c r="B11">
        <f t="shared" si="2"/>
        <v>793</v>
      </c>
      <c r="C11">
        <f t="shared" si="0"/>
        <v>109</v>
      </c>
    </row>
    <row r="12" spans="1:3">
      <c r="A12">
        <v>10</v>
      </c>
      <c r="B12">
        <f t="shared" si="2"/>
        <v>1653</v>
      </c>
      <c r="C12">
        <f t="shared" si="0"/>
        <v>177</v>
      </c>
    </row>
    <row r="13" spans="1:3">
      <c r="A13">
        <v>11</v>
      </c>
      <c r="B13">
        <f t="shared" si="2"/>
        <v>3417</v>
      </c>
      <c r="C13">
        <f t="shared" si="0"/>
        <v>287</v>
      </c>
    </row>
    <row r="14" spans="1:3">
      <c r="A14">
        <v>12</v>
      </c>
      <c r="B14">
        <f t="shared" si="2"/>
        <v>7041</v>
      </c>
      <c r="C14">
        <f t="shared" si="0"/>
        <v>465</v>
      </c>
    </row>
    <row r="15" spans="1:3">
      <c r="A15">
        <v>13</v>
      </c>
      <c r="B15">
        <f t="shared" si="2"/>
        <v>14333</v>
      </c>
      <c r="C15">
        <f t="shared" si="0"/>
        <v>753</v>
      </c>
    </row>
    <row r="16" spans="1:3">
      <c r="A16">
        <v>14</v>
      </c>
      <c r="B16">
        <f t="shared" si="2"/>
        <v>29117</v>
      </c>
      <c r="C16">
        <f t="shared" si="0"/>
        <v>1219</v>
      </c>
    </row>
    <row r="17" spans="1:3">
      <c r="A17">
        <v>15</v>
      </c>
      <c r="B17">
        <f t="shared" si="2"/>
        <v>58781</v>
      </c>
      <c r="C17">
        <f t="shared" si="0"/>
        <v>1973</v>
      </c>
    </row>
    <row r="18" spans="1:3">
      <c r="A18">
        <v>16</v>
      </c>
      <c r="B18">
        <f t="shared" si="2"/>
        <v>118309</v>
      </c>
      <c r="C18">
        <f t="shared" si="0"/>
        <v>3193</v>
      </c>
    </row>
    <row r="19" spans="1:3">
      <c r="A19">
        <v>17</v>
      </c>
      <c r="B19">
        <f t="shared" si="2"/>
        <v>237785</v>
      </c>
      <c r="C19">
        <f t="shared" si="0"/>
        <v>5167</v>
      </c>
    </row>
    <row r="20" spans="1:3">
      <c r="A20">
        <v>18</v>
      </c>
      <c r="B20">
        <f t="shared" si="2"/>
        <v>477157</v>
      </c>
      <c r="C20">
        <f t="shared" si="0"/>
        <v>8361</v>
      </c>
    </row>
    <row r="21" spans="1:3">
      <c r="A21">
        <v>19</v>
      </c>
      <c r="B21">
        <f t="shared" si="2"/>
        <v>956761</v>
      </c>
      <c r="C21">
        <f t="shared" si="0"/>
        <v>13529</v>
      </c>
    </row>
    <row r="22" spans="1:3">
      <c r="A22">
        <v>20</v>
      </c>
      <c r="B22">
        <f t="shared" si="2"/>
        <v>1917733</v>
      </c>
      <c r="C22">
        <f t="shared" si="0"/>
        <v>21891</v>
      </c>
    </row>
    <row r="23" spans="1:3">
      <c r="A23">
        <v>21</v>
      </c>
      <c r="B23">
        <f t="shared" si="2"/>
        <v>3843301</v>
      </c>
      <c r="C23">
        <f t="shared" si="0"/>
        <v>35421</v>
      </c>
    </row>
    <row r="24" spans="1:3">
      <c r="A24">
        <v>22</v>
      </c>
      <c r="B24">
        <f t="shared" si="2"/>
        <v>7695297</v>
      </c>
      <c r="C24">
        <f t="shared" si="0"/>
        <v>57313</v>
      </c>
    </row>
    <row r="25" spans="1:3">
      <c r="A25">
        <v>23</v>
      </c>
      <c r="B25">
        <f t="shared" si="2"/>
        <v>15406581</v>
      </c>
      <c r="C25">
        <f t="shared" si="0"/>
        <v>92735</v>
      </c>
    </row>
    <row r="26" spans="1:3">
      <c r="A26">
        <v>24</v>
      </c>
      <c r="B26">
        <f t="shared" si="2"/>
        <v>30843933</v>
      </c>
      <c r="C26">
        <f t="shared" si="0"/>
        <v>150049</v>
      </c>
    </row>
    <row r="27" spans="1:3">
      <c r="A27">
        <v>25</v>
      </c>
      <c r="B27">
        <f t="shared" si="2"/>
        <v>61720401</v>
      </c>
      <c r="C27">
        <f t="shared" si="0"/>
        <v>242785</v>
      </c>
    </row>
    <row r="28" spans="1:3">
      <c r="A28">
        <v>26</v>
      </c>
      <c r="B28">
        <f t="shared" si="2"/>
        <v>123503001</v>
      </c>
      <c r="C28">
        <f t="shared" si="0"/>
        <v>392835</v>
      </c>
    </row>
    <row r="35" spans="1:1">
      <c r="A35">
        <v>33</v>
      </c>
    </row>
  </sheetData>
  <mergeCells count="1">
    <mergeCell ref="B1:C1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/>
  <dimension ref="A1:E37"/>
  <sheetViews>
    <sheetView workbookViewId="0">
      <selection activeCell="O23" sqref="O23"/>
    </sheetView>
  </sheetViews>
  <sheetFormatPr defaultRowHeight="14.25"/>
  <cols>
    <col min="3" max="3" width="18.375" customWidth="1"/>
    <col min="4" max="4" width="10.125" customWidth="1"/>
    <col min="5" max="5" width="21.75" customWidth="1"/>
  </cols>
  <sheetData>
    <row r="1" spans="1:5">
      <c r="A1" t="s">
        <v>9</v>
      </c>
      <c r="B1" t="s">
        <v>13</v>
      </c>
      <c r="C1" t="s">
        <v>12</v>
      </c>
      <c r="D1" t="s">
        <v>15</v>
      </c>
      <c r="E1" t="s">
        <v>14</v>
      </c>
    </row>
    <row r="2" spans="1:5">
      <c r="A2">
        <v>1</v>
      </c>
      <c r="B2">
        <f>CountL(A2)</f>
        <v>1</v>
      </c>
      <c r="D2">
        <f>CountHC(A2)</f>
        <v>1</v>
      </c>
    </row>
    <row r="3" spans="1:5">
      <c r="A3">
        <v>2</v>
      </c>
      <c r="B3">
        <f t="shared" ref="B3:B33" si="0">CountL(A3)</f>
        <v>3</v>
      </c>
      <c r="C3">
        <f>B3/B2</f>
        <v>3</v>
      </c>
      <c r="D3">
        <f t="shared" ref="D3:D24" si="1">CountHC(A3)</f>
        <v>1</v>
      </c>
      <c r="E3">
        <f>D3/D2</f>
        <v>1</v>
      </c>
    </row>
    <row r="4" spans="1:5">
      <c r="A4">
        <v>3</v>
      </c>
      <c r="B4">
        <f t="shared" si="0"/>
        <v>5</v>
      </c>
      <c r="C4">
        <f>B4/B3</f>
        <v>1.6666666666666667</v>
      </c>
      <c r="D4">
        <f t="shared" si="1"/>
        <v>5</v>
      </c>
      <c r="E4">
        <f t="shared" ref="E4:E27" si="2">D4/D3</f>
        <v>5</v>
      </c>
    </row>
    <row r="5" spans="1:5">
      <c r="A5">
        <v>4</v>
      </c>
      <c r="B5">
        <f t="shared" si="0"/>
        <v>9</v>
      </c>
      <c r="C5">
        <f t="shared" ref="C5:C37" si="3">B5/B4</f>
        <v>1.8</v>
      </c>
      <c r="D5">
        <f t="shared" si="1"/>
        <v>13</v>
      </c>
      <c r="E5">
        <f t="shared" si="2"/>
        <v>2.6</v>
      </c>
    </row>
    <row r="6" spans="1:5">
      <c r="A6">
        <v>5</v>
      </c>
      <c r="B6">
        <f t="shared" si="0"/>
        <v>15</v>
      </c>
      <c r="C6">
        <f t="shared" si="3"/>
        <v>1.6666666666666667</v>
      </c>
      <c r="D6">
        <f t="shared" si="1"/>
        <v>33</v>
      </c>
      <c r="E6">
        <f t="shared" si="2"/>
        <v>2.5384615384615383</v>
      </c>
    </row>
    <row r="7" spans="1:5">
      <c r="A7">
        <v>6</v>
      </c>
      <c r="B7">
        <f t="shared" si="0"/>
        <v>25</v>
      </c>
      <c r="C7">
        <f t="shared" si="3"/>
        <v>1.6666666666666667</v>
      </c>
      <c r="D7">
        <f t="shared" si="1"/>
        <v>77</v>
      </c>
      <c r="E7">
        <f t="shared" si="2"/>
        <v>2.3333333333333335</v>
      </c>
    </row>
    <row r="8" spans="1:5">
      <c r="A8">
        <v>7</v>
      </c>
      <c r="B8">
        <f t="shared" si="0"/>
        <v>41</v>
      </c>
      <c r="C8">
        <f t="shared" si="3"/>
        <v>1.64</v>
      </c>
      <c r="D8">
        <f t="shared" si="1"/>
        <v>173</v>
      </c>
      <c r="E8">
        <f t="shared" si="2"/>
        <v>2.2467532467532467</v>
      </c>
    </row>
    <row r="9" spans="1:5">
      <c r="A9">
        <v>8</v>
      </c>
      <c r="B9">
        <f t="shared" si="0"/>
        <v>67</v>
      </c>
      <c r="C9">
        <f t="shared" si="3"/>
        <v>1.6341463414634145</v>
      </c>
      <c r="D9">
        <f t="shared" si="1"/>
        <v>373</v>
      </c>
      <c r="E9">
        <f t="shared" si="2"/>
        <v>2.1560693641618496</v>
      </c>
    </row>
    <row r="10" spans="1:5">
      <c r="A10">
        <v>9</v>
      </c>
      <c r="B10">
        <f t="shared" si="0"/>
        <v>109</v>
      </c>
      <c r="C10">
        <f t="shared" si="3"/>
        <v>1.6268656716417911</v>
      </c>
      <c r="D10">
        <f t="shared" si="1"/>
        <v>793</v>
      </c>
      <c r="E10">
        <f t="shared" si="2"/>
        <v>2.1260053619302948</v>
      </c>
    </row>
    <row r="11" spans="1:5">
      <c r="A11">
        <v>10</v>
      </c>
      <c r="B11">
        <f t="shared" si="0"/>
        <v>177</v>
      </c>
      <c r="C11">
        <f t="shared" si="3"/>
        <v>1.6238532110091743</v>
      </c>
      <c r="D11">
        <f t="shared" si="1"/>
        <v>1653</v>
      </c>
      <c r="E11">
        <f t="shared" si="2"/>
        <v>2.0844892812105926</v>
      </c>
    </row>
    <row r="12" spans="1:5">
      <c r="A12">
        <v>11</v>
      </c>
      <c r="B12">
        <f t="shared" si="0"/>
        <v>287</v>
      </c>
      <c r="C12">
        <f t="shared" si="3"/>
        <v>1.6214689265536724</v>
      </c>
      <c r="D12">
        <f t="shared" si="1"/>
        <v>3417</v>
      </c>
      <c r="E12">
        <f t="shared" si="2"/>
        <v>2.0671506352087112</v>
      </c>
    </row>
    <row r="13" spans="1:5">
      <c r="A13">
        <v>12</v>
      </c>
      <c r="B13">
        <f t="shared" si="0"/>
        <v>465</v>
      </c>
      <c r="C13">
        <f t="shared" si="3"/>
        <v>1.6202090592334495</v>
      </c>
      <c r="D13">
        <f t="shared" si="1"/>
        <v>7041</v>
      </c>
      <c r="E13">
        <f t="shared" si="2"/>
        <v>2.0605794556628623</v>
      </c>
    </row>
    <row r="14" spans="1:5">
      <c r="A14">
        <v>13</v>
      </c>
      <c r="B14">
        <f t="shared" si="0"/>
        <v>753</v>
      </c>
      <c r="C14">
        <f t="shared" si="3"/>
        <v>1.6193548387096774</v>
      </c>
      <c r="D14">
        <f t="shared" si="1"/>
        <v>14333</v>
      </c>
      <c r="E14">
        <f t="shared" si="2"/>
        <v>2.0356483454054821</v>
      </c>
    </row>
    <row r="15" spans="1:5">
      <c r="A15">
        <v>14</v>
      </c>
      <c r="B15">
        <f t="shared" si="0"/>
        <v>1219</v>
      </c>
      <c r="C15">
        <f t="shared" si="3"/>
        <v>1.6188579017264275</v>
      </c>
      <c r="D15">
        <f t="shared" si="1"/>
        <v>29117</v>
      </c>
      <c r="E15">
        <f t="shared" si="2"/>
        <v>2.0314658480429779</v>
      </c>
    </row>
    <row r="16" spans="1:5">
      <c r="A16">
        <v>15</v>
      </c>
      <c r="B16">
        <f t="shared" si="0"/>
        <v>1973</v>
      </c>
      <c r="C16">
        <f t="shared" si="3"/>
        <v>1.6185397867104183</v>
      </c>
      <c r="D16">
        <f t="shared" si="1"/>
        <v>58781</v>
      </c>
      <c r="E16">
        <f t="shared" si="2"/>
        <v>2.0187862760586599</v>
      </c>
    </row>
    <row r="17" spans="1:5">
      <c r="A17">
        <v>16</v>
      </c>
      <c r="B17">
        <f t="shared" si="0"/>
        <v>3193</v>
      </c>
      <c r="C17">
        <f t="shared" si="3"/>
        <v>1.6183476938672072</v>
      </c>
      <c r="D17">
        <f t="shared" si="1"/>
        <v>118309</v>
      </c>
      <c r="E17">
        <f t="shared" si="2"/>
        <v>2.0127081880199382</v>
      </c>
    </row>
    <row r="18" spans="1:5">
      <c r="A18">
        <v>17</v>
      </c>
      <c r="B18">
        <f t="shared" si="0"/>
        <v>5167</v>
      </c>
      <c r="C18">
        <f t="shared" si="3"/>
        <v>1.6182273723770748</v>
      </c>
      <c r="D18">
        <f t="shared" si="1"/>
        <v>237785</v>
      </c>
      <c r="E18">
        <f t="shared" si="2"/>
        <v>2.0098640002028585</v>
      </c>
    </row>
    <row r="19" spans="1:5">
      <c r="A19">
        <v>18</v>
      </c>
      <c r="B19">
        <f t="shared" si="0"/>
        <v>8361</v>
      </c>
      <c r="C19">
        <f t="shared" si="3"/>
        <v>1.6181536675053223</v>
      </c>
      <c r="D19">
        <f t="shared" si="1"/>
        <v>477157</v>
      </c>
      <c r="E19">
        <f t="shared" si="2"/>
        <v>2.0066740963475409</v>
      </c>
    </row>
    <row r="20" spans="1:5">
      <c r="A20">
        <v>19</v>
      </c>
      <c r="B20">
        <f t="shared" si="0"/>
        <v>13529</v>
      </c>
      <c r="C20">
        <f t="shared" si="3"/>
        <v>1.6181078818323167</v>
      </c>
      <c r="D20">
        <f t="shared" si="1"/>
        <v>956761</v>
      </c>
      <c r="E20">
        <f t="shared" si="2"/>
        <v>2.005128291107539</v>
      </c>
    </row>
    <row r="21" spans="1:5">
      <c r="A21">
        <v>20</v>
      </c>
      <c r="B21">
        <f t="shared" si="0"/>
        <v>21891</v>
      </c>
      <c r="C21">
        <f t="shared" si="3"/>
        <v>1.6180796806859339</v>
      </c>
      <c r="D21">
        <f t="shared" si="1"/>
        <v>1917733</v>
      </c>
      <c r="E21">
        <f t="shared" si="2"/>
        <v>2.0044013081636898</v>
      </c>
    </row>
    <row r="22" spans="1:5">
      <c r="A22">
        <v>21</v>
      </c>
      <c r="B22">
        <f t="shared" si="0"/>
        <v>35421</v>
      </c>
      <c r="C22">
        <f t="shared" si="3"/>
        <v>1.6180622173495958</v>
      </c>
      <c r="D22">
        <f t="shared" si="1"/>
        <v>3843301</v>
      </c>
      <c r="E22">
        <f t="shared" si="2"/>
        <v>2.0040855530983719</v>
      </c>
    </row>
    <row r="23" spans="1:5">
      <c r="A23">
        <v>22</v>
      </c>
      <c r="B23">
        <f t="shared" si="0"/>
        <v>57313</v>
      </c>
      <c r="C23">
        <f t="shared" si="3"/>
        <v>1.6180514384122413</v>
      </c>
      <c r="D23">
        <f t="shared" si="1"/>
        <v>7695297</v>
      </c>
      <c r="E23">
        <f t="shared" si="2"/>
        <v>2.0022623780963293</v>
      </c>
    </row>
    <row r="24" spans="1:5">
      <c r="A24">
        <v>23</v>
      </c>
      <c r="B24">
        <f t="shared" si="0"/>
        <v>92735</v>
      </c>
      <c r="C24">
        <f t="shared" si="3"/>
        <v>1.6180447716922861</v>
      </c>
      <c r="D24">
        <f t="shared" si="1"/>
        <v>15406581</v>
      </c>
      <c r="E24">
        <f t="shared" si="2"/>
        <v>2.0020775026616908</v>
      </c>
    </row>
    <row r="25" spans="1:5">
      <c r="A25">
        <v>24</v>
      </c>
      <c r="B25">
        <f t="shared" si="0"/>
        <v>150049</v>
      </c>
      <c r="C25">
        <f t="shared" si="3"/>
        <v>1.6180406534749556</v>
      </c>
      <c r="D25">
        <f>CountHC(A25)</f>
        <v>30843933</v>
      </c>
      <c r="E25">
        <f t="shared" si="2"/>
        <v>2.001997263377254</v>
      </c>
    </row>
    <row r="26" spans="1:5">
      <c r="A26">
        <v>25</v>
      </c>
      <c r="B26">
        <f t="shared" si="0"/>
        <v>242785</v>
      </c>
      <c r="C26">
        <f t="shared" si="3"/>
        <v>1.6180381075515331</v>
      </c>
      <c r="D26">
        <f>CountHC(A26)</f>
        <v>61720401</v>
      </c>
      <c r="E26">
        <f t="shared" si="2"/>
        <v>2.0010548265683239</v>
      </c>
    </row>
    <row r="27" spans="1:5">
      <c r="A27">
        <v>26</v>
      </c>
      <c r="B27">
        <f t="shared" si="0"/>
        <v>392835</v>
      </c>
      <c r="C27">
        <f t="shared" si="3"/>
        <v>1.6180365343822725</v>
      </c>
      <c r="D27">
        <f>CountHC(A27)</f>
        <v>123503001</v>
      </c>
      <c r="E27">
        <f t="shared" si="2"/>
        <v>2.0010077543080125</v>
      </c>
    </row>
    <row r="28" spans="1:5">
      <c r="A28">
        <v>27</v>
      </c>
      <c r="B28">
        <f t="shared" si="0"/>
        <v>635621</v>
      </c>
      <c r="C28">
        <f t="shared" si="3"/>
        <v>1.6180355620044038</v>
      </c>
    </row>
    <row r="29" spans="1:5">
      <c r="A29">
        <v>28</v>
      </c>
      <c r="B29">
        <f>CountL(A29)</f>
        <v>1028457</v>
      </c>
      <c r="C29">
        <f t="shared" si="3"/>
        <v>1.6180349610853009</v>
      </c>
    </row>
    <row r="30" spans="1:5">
      <c r="A30">
        <v>29</v>
      </c>
      <c r="B30">
        <f t="shared" si="0"/>
        <v>1664079</v>
      </c>
      <c r="C30">
        <f t="shared" si="3"/>
        <v>1.6180345896814354</v>
      </c>
    </row>
    <row r="31" spans="1:5">
      <c r="A31">
        <v>30</v>
      </c>
      <c r="B31">
        <f t="shared" si="0"/>
        <v>2692537</v>
      </c>
      <c r="C31">
        <f t="shared" si="3"/>
        <v>1.6180343601475651</v>
      </c>
    </row>
    <row r="32" spans="1:5">
      <c r="A32">
        <v>31</v>
      </c>
      <c r="B32">
        <f t="shared" si="0"/>
        <v>4356617</v>
      </c>
      <c r="C32">
        <f t="shared" si="3"/>
        <v>1.6180342182855798</v>
      </c>
    </row>
    <row r="33" spans="1:3">
      <c r="A33">
        <v>32</v>
      </c>
      <c r="B33">
        <f t="shared" si="0"/>
        <v>7049155</v>
      </c>
      <c r="C33">
        <f t="shared" si="3"/>
        <v>1.6180341306109765</v>
      </c>
    </row>
    <row r="34" spans="1:3">
      <c r="A34">
        <v>33</v>
      </c>
      <c r="B34">
        <f>CountL(A34)</f>
        <v>11405773</v>
      </c>
      <c r="C34">
        <f t="shared" si="3"/>
        <v>1.6180340764247629</v>
      </c>
    </row>
    <row r="35" spans="1:3">
      <c r="A35">
        <v>34</v>
      </c>
      <c r="B35">
        <f>CountL(A35)</f>
        <v>18454929</v>
      </c>
      <c r="C35">
        <f t="shared" si="3"/>
        <v>1.6180340429359763</v>
      </c>
    </row>
    <row r="36" spans="1:3">
      <c r="A36">
        <v>35</v>
      </c>
      <c r="B36">
        <f>CountL(A36)</f>
        <v>29860703</v>
      </c>
      <c r="C36">
        <f t="shared" si="3"/>
        <v>1.6180340222387202</v>
      </c>
    </row>
    <row r="37" spans="1:3">
      <c r="A37">
        <v>36</v>
      </c>
      <c r="B37">
        <f t="shared" ref="B37" si="4">CountL(A37)</f>
        <v>48315633</v>
      </c>
      <c r="C37">
        <f t="shared" si="3"/>
        <v>1.6180340094471319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/>
  <dimension ref="A1:F1000"/>
  <sheetViews>
    <sheetView tabSelected="1" workbookViewId="0">
      <selection activeCell="F14" sqref="F14"/>
    </sheetView>
  </sheetViews>
  <sheetFormatPr defaultRowHeight="14.25"/>
  <cols>
    <col min="3" max="3" width="13.375" customWidth="1"/>
    <col min="4" max="4" width="16.375" customWidth="1"/>
  </cols>
  <sheetData>
    <row r="1" spans="1:6">
      <c r="A1">
        <v>0</v>
      </c>
      <c r="B1">
        <f>CountS(A1)</f>
        <v>1</v>
      </c>
      <c r="C1">
        <v>1</v>
      </c>
    </row>
    <row r="2" spans="1:6">
      <c r="A2">
        <v>1</v>
      </c>
      <c r="B2">
        <f t="shared" ref="B2:B14" si="0">CountS(A2)</f>
        <v>4</v>
      </c>
      <c r="C2">
        <v>4</v>
      </c>
      <c r="D2">
        <f>C2/C1</f>
        <v>4</v>
      </c>
    </row>
    <row r="3" spans="1:6">
      <c r="A3">
        <v>2</v>
      </c>
      <c r="B3">
        <f t="shared" si="0"/>
        <v>15</v>
      </c>
      <c r="C3">
        <f>SUM($C$1:C2)*2+C2+1</f>
        <v>15</v>
      </c>
      <c r="D3">
        <f t="shared" ref="D3:D66" si="1">C3/C2</f>
        <v>3.75</v>
      </c>
    </row>
    <row r="4" spans="1:6">
      <c r="A4">
        <v>3</v>
      </c>
      <c r="B4">
        <f t="shared" si="0"/>
        <v>56</v>
      </c>
      <c r="C4">
        <f>SUM($C$1:C3)*2+C3+1</f>
        <v>56</v>
      </c>
      <c r="D4">
        <f t="shared" si="1"/>
        <v>3.7333333333333334</v>
      </c>
    </row>
    <row r="5" spans="1:6">
      <c r="A5">
        <v>4</v>
      </c>
      <c r="B5">
        <f t="shared" si="0"/>
        <v>209</v>
      </c>
      <c r="C5">
        <f>SUM($C$1:C4)*2+C4+1</f>
        <v>209</v>
      </c>
      <c r="D5">
        <f t="shared" si="1"/>
        <v>3.7321428571428572</v>
      </c>
    </row>
    <row r="6" spans="1:6">
      <c r="A6">
        <v>5</v>
      </c>
      <c r="B6">
        <f t="shared" si="0"/>
        <v>780</v>
      </c>
      <c r="C6">
        <f>SUM($C$1:C5)*2+C5+1</f>
        <v>780</v>
      </c>
      <c r="D6">
        <f t="shared" si="1"/>
        <v>3.7320574162679425</v>
      </c>
    </row>
    <row r="7" spans="1:6">
      <c r="A7">
        <v>6</v>
      </c>
      <c r="B7">
        <f t="shared" si="0"/>
        <v>2911</v>
      </c>
      <c r="C7">
        <f>SUM($C$1:C6)*2+C6+1</f>
        <v>2911</v>
      </c>
      <c r="D7">
        <f t="shared" si="1"/>
        <v>3.7320512820512821</v>
      </c>
    </row>
    <row r="8" spans="1:6">
      <c r="A8">
        <v>7</v>
      </c>
      <c r="B8">
        <f t="shared" si="0"/>
        <v>10864</v>
      </c>
      <c r="C8">
        <f>SUM($C$1:C7)*2+C7+1</f>
        <v>10864</v>
      </c>
      <c r="D8">
        <f t="shared" si="1"/>
        <v>3.7320508416351768</v>
      </c>
    </row>
    <row r="9" spans="1:6">
      <c r="A9">
        <v>8</v>
      </c>
      <c r="B9">
        <f t="shared" si="0"/>
        <v>40545</v>
      </c>
      <c r="C9">
        <f>SUM($C$1:C8)*2+C8+1</f>
        <v>40545</v>
      </c>
      <c r="D9">
        <f t="shared" si="1"/>
        <v>3.7320508100147274</v>
      </c>
    </row>
    <row r="10" spans="1:6">
      <c r="A10">
        <v>9</v>
      </c>
      <c r="B10">
        <f t="shared" si="0"/>
        <v>151316</v>
      </c>
      <c r="C10">
        <f>SUM($C$1:C9)*2+C9+1</f>
        <v>151316</v>
      </c>
      <c r="D10">
        <f t="shared" si="1"/>
        <v>3.7320508077444816</v>
      </c>
    </row>
    <row r="11" spans="1:6">
      <c r="A11">
        <v>10</v>
      </c>
      <c r="B11">
        <f t="shared" si="0"/>
        <v>564719</v>
      </c>
      <c r="C11">
        <f>SUM($C$1:C10)*2+C10+1</f>
        <v>564719</v>
      </c>
      <c r="D11">
        <f t="shared" si="1"/>
        <v>3.7320508075814849</v>
      </c>
    </row>
    <row r="12" spans="1:6">
      <c r="A12">
        <v>11</v>
      </c>
      <c r="B12">
        <f t="shared" si="0"/>
        <v>2107560</v>
      </c>
      <c r="C12">
        <f>SUM($C$1:C11)*2+C11+1</f>
        <v>2107560</v>
      </c>
      <c r="D12">
        <f t="shared" si="1"/>
        <v>3.7320508075697827</v>
      </c>
    </row>
    <row r="13" spans="1:6">
      <c r="A13">
        <v>12</v>
      </c>
      <c r="B13">
        <f t="shared" si="0"/>
        <v>7865521</v>
      </c>
      <c r="C13">
        <f>SUM($C$1:C12)*2+C12+1</f>
        <v>7865521</v>
      </c>
      <c r="D13">
        <f t="shared" si="1"/>
        <v>3.7320508075689425</v>
      </c>
    </row>
    <row r="14" spans="1:6">
      <c r="A14">
        <v>13</v>
      </c>
      <c r="B14">
        <f t="shared" si="0"/>
        <v>29354524</v>
      </c>
      <c r="C14">
        <f>SUM($C$1:C13)*2+C13+1</f>
        <v>29354524</v>
      </c>
      <c r="D14">
        <f t="shared" si="1"/>
        <v>3.7320508075688821</v>
      </c>
      <c r="F14">
        <f>D14^5*C9</f>
        <v>29354523.998512134</v>
      </c>
    </row>
    <row r="15" spans="1:6">
      <c r="A15">
        <v>14</v>
      </c>
      <c r="C15">
        <f>SUM($C$1:C14)*2+C14+1</f>
        <v>109552575</v>
      </c>
      <c r="D15">
        <f t="shared" si="1"/>
        <v>3.7320508075688776</v>
      </c>
    </row>
    <row r="16" spans="1:6">
      <c r="A16">
        <v>15</v>
      </c>
      <c r="C16">
        <f>SUM($C$1:C15)*2+C15+1</f>
        <v>408855776</v>
      </c>
      <c r="D16">
        <f t="shared" si="1"/>
        <v>3.7320508075688772</v>
      </c>
    </row>
    <row r="17" spans="1:4">
      <c r="A17">
        <v>16</v>
      </c>
      <c r="C17">
        <f>SUM($C$1:C16)*2+C16+1</f>
        <v>1525870529</v>
      </c>
      <c r="D17">
        <f t="shared" si="1"/>
        <v>3.7320508075688772</v>
      </c>
    </row>
    <row r="18" spans="1:4">
      <c r="A18">
        <v>17</v>
      </c>
      <c r="C18">
        <f>SUM($C$1:C17)*2+C17+1</f>
        <v>5694626340</v>
      </c>
      <c r="D18">
        <f t="shared" si="1"/>
        <v>3.7320508075688772</v>
      </c>
    </row>
    <row r="19" spans="1:4">
      <c r="A19">
        <v>18</v>
      </c>
      <c r="C19">
        <f>SUM($C$1:C18)*2+C18+1</f>
        <v>21252634831</v>
      </c>
      <c r="D19">
        <f t="shared" si="1"/>
        <v>3.7320508075688772</v>
      </c>
    </row>
    <row r="20" spans="1:4">
      <c r="A20">
        <v>19</v>
      </c>
      <c r="C20">
        <f>SUM($C$1:C19)*2+C19+1</f>
        <v>79315912984</v>
      </c>
      <c r="D20">
        <f t="shared" si="1"/>
        <v>3.7320508075688772</v>
      </c>
    </row>
    <row r="21" spans="1:4">
      <c r="A21">
        <v>20</v>
      </c>
      <c r="C21">
        <f>SUM($C$1:C20)*2+C20+1</f>
        <v>296011017105</v>
      </c>
      <c r="D21">
        <f t="shared" si="1"/>
        <v>3.7320508075688772</v>
      </c>
    </row>
    <row r="22" spans="1:4">
      <c r="A22">
        <v>21</v>
      </c>
      <c r="C22">
        <f>SUM($C$1:C21)*2+C21+1</f>
        <v>1104728155436</v>
      </c>
      <c r="D22">
        <f t="shared" si="1"/>
        <v>3.7320508075688772</v>
      </c>
    </row>
    <row r="23" spans="1:4">
      <c r="A23">
        <v>22</v>
      </c>
      <c r="C23">
        <f>SUM($C$1:C22)*2+C22+1</f>
        <v>4122901604639</v>
      </c>
      <c r="D23">
        <f t="shared" si="1"/>
        <v>3.7320508075688772</v>
      </c>
    </row>
    <row r="24" spans="1:4">
      <c r="A24">
        <v>23</v>
      </c>
      <c r="C24">
        <f>SUM($C$1:C23)*2+C23+1</f>
        <v>15386878263120</v>
      </c>
      <c r="D24">
        <f t="shared" si="1"/>
        <v>3.7320508075688772</v>
      </c>
    </row>
    <row r="25" spans="1:4">
      <c r="A25">
        <v>24</v>
      </c>
      <c r="C25">
        <f>SUM($C$1:C24)*2+C24+1</f>
        <v>57424611447841</v>
      </c>
      <c r="D25">
        <f t="shared" si="1"/>
        <v>3.7320508075688772</v>
      </c>
    </row>
    <row r="26" spans="1:4">
      <c r="A26">
        <v>25</v>
      </c>
      <c r="C26">
        <f>SUM($C$1:C25)*2+C25+1</f>
        <v>214311567528244</v>
      </c>
      <c r="D26">
        <f t="shared" si="1"/>
        <v>3.7320508075688772</v>
      </c>
    </row>
    <row r="27" spans="1:4">
      <c r="A27">
        <v>26</v>
      </c>
      <c r="C27">
        <f>SUM($C$1:C26)*2+C26+1</f>
        <v>799821658665135</v>
      </c>
      <c r="D27">
        <f t="shared" si="1"/>
        <v>3.7320508075688772</v>
      </c>
    </row>
    <row r="28" spans="1:4">
      <c r="A28">
        <v>27</v>
      </c>
      <c r="C28">
        <f>SUM($C$1:C27)*2+C27+1</f>
        <v>2984975067132296</v>
      </c>
      <c r="D28">
        <f t="shared" si="1"/>
        <v>3.7320508075688772</v>
      </c>
    </row>
    <row r="29" spans="1:4">
      <c r="A29">
        <v>28</v>
      </c>
      <c r="C29">
        <f>SUM($C$1:C28)*2+C28+1</f>
        <v>1.1140078609864048E+16</v>
      </c>
      <c r="D29">
        <f t="shared" si="1"/>
        <v>3.7320508075688767</v>
      </c>
    </row>
    <row r="30" spans="1:4">
      <c r="A30">
        <v>29</v>
      </c>
      <c r="C30">
        <f>SUM($C$1:C29)*2+C29+1</f>
        <v>4.1575339372323896E+16</v>
      </c>
      <c r="D30">
        <f t="shared" si="1"/>
        <v>3.7320508075688772</v>
      </c>
    </row>
    <row r="31" spans="1:4">
      <c r="A31">
        <v>30</v>
      </c>
      <c r="C31">
        <f>SUM($C$1:C30)*2+C30+1</f>
        <v>1.5516127887943155E+17</v>
      </c>
      <c r="D31">
        <f t="shared" si="1"/>
        <v>3.7320508075688776</v>
      </c>
    </row>
    <row r="32" spans="1:4">
      <c r="A32">
        <v>31</v>
      </c>
      <c r="C32">
        <f>SUM($C$1:C31)*2+C31+1</f>
        <v>5.7906977614540237E+17</v>
      </c>
      <c r="D32">
        <f t="shared" si="1"/>
        <v>3.7320508075688776</v>
      </c>
    </row>
    <row r="33" spans="1:4">
      <c r="A33">
        <v>32</v>
      </c>
      <c r="C33">
        <f>SUM($C$1:C32)*2+C32+1</f>
        <v>2.1611178257021778E+18</v>
      </c>
      <c r="D33">
        <f t="shared" si="1"/>
        <v>3.7320508075688772</v>
      </c>
    </row>
    <row r="34" spans="1:4">
      <c r="A34">
        <v>33</v>
      </c>
      <c r="C34">
        <f>SUM($C$1:C33)*2+C33+1</f>
        <v>8.0654015266633083E+18</v>
      </c>
      <c r="D34">
        <f t="shared" si="1"/>
        <v>3.7320508075688772</v>
      </c>
    </row>
    <row r="35" spans="1:4">
      <c r="A35">
        <v>34</v>
      </c>
      <c r="C35">
        <f>SUM($C$1:C34)*2+C34+1</f>
        <v>3.0100488280951054E+19</v>
      </c>
      <c r="D35">
        <f t="shared" si="1"/>
        <v>3.7320508075688772</v>
      </c>
    </row>
    <row r="36" spans="1:4">
      <c r="A36">
        <v>35</v>
      </c>
      <c r="C36">
        <f>SUM($C$1:C35)*2+C35+1</f>
        <v>1.123365515971409E+20</v>
      </c>
      <c r="D36">
        <f t="shared" si="1"/>
        <v>3.7320508075688772</v>
      </c>
    </row>
    <row r="37" spans="1:4">
      <c r="A37">
        <v>36</v>
      </c>
      <c r="C37">
        <f>SUM($C$1:C36)*2+C36+1</f>
        <v>4.1924571810761251E+20</v>
      </c>
      <c r="D37">
        <f t="shared" si="1"/>
        <v>3.7320508075688767</v>
      </c>
    </row>
    <row r="38" spans="1:4">
      <c r="A38">
        <v>37</v>
      </c>
      <c r="C38">
        <f>SUM($C$1:C37)*2+C37+1</f>
        <v>1.5646463208333092E+21</v>
      </c>
      <c r="D38">
        <f t="shared" si="1"/>
        <v>3.7320508075688772</v>
      </c>
    </row>
    <row r="39" spans="1:4">
      <c r="A39">
        <v>38</v>
      </c>
      <c r="C39">
        <f>SUM($C$1:C38)*2+C38+1</f>
        <v>5.8393395652256239E+21</v>
      </c>
      <c r="D39">
        <f t="shared" si="1"/>
        <v>3.7320508075688772</v>
      </c>
    </row>
    <row r="40" spans="1:4">
      <c r="A40">
        <v>39</v>
      </c>
      <c r="C40">
        <f>SUM($C$1:C39)*2+C39+1</f>
        <v>2.1792711940069187E+22</v>
      </c>
      <c r="D40">
        <f t="shared" si="1"/>
        <v>3.7320508075688772</v>
      </c>
    </row>
    <row r="41" spans="1:4">
      <c r="A41">
        <v>40</v>
      </c>
      <c r="C41">
        <f>SUM($C$1:C40)*2+C40+1</f>
        <v>8.1331508195051128E+22</v>
      </c>
      <c r="D41">
        <f t="shared" si="1"/>
        <v>3.7320508075688776</v>
      </c>
    </row>
    <row r="42" spans="1:4">
      <c r="A42">
        <v>41</v>
      </c>
      <c r="C42">
        <f>SUM($C$1:C41)*2+C41+1</f>
        <v>3.0353332084013529E+23</v>
      </c>
      <c r="D42">
        <f t="shared" si="1"/>
        <v>3.7320508075688767</v>
      </c>
    </row>
    <row r="43" spans="1:4">
      <c r="A43">
        <v>42</v>
      </c>
      <c r="C43">
        <f>SUM($C$1:C42)*2+C42+1</f>
        <v>1.1328017751654901E+24</v>
      </c>
      <c r="D43">
        <f t="shared" si="1"/>
        <v>3.7320508075688772</v>
      </c>
    </row>
    <row r="44" spans="1:4">
      <c r="A44">
        <v>43</v>
      </c>
      <c r="C44">
        <f>SUM($C$1:C43)*2+C43+1</f>
        <v>4.2276737798218248E+24</v>
      </c>
      <c r="D44">
        <f t="shared" si="1"/>
        <v>3.7320508075688772</v>
      </c>
    </row>
    <row r="45" spans="1:4">
      <c r="A45">
        <v>44</v>
      </c>
      <c r="C45">
        <f>SUM($C$1:C44)*2+C44+1</f>
        <v>1.577789334412181E+25</v>
      </c>
      <c r="D45">
        <f t="shared" si="1"/>
        <v>3.7320508075688776</v>
      </c>
    </row>
    <row r="46" spans="1:4">
      <c r="A46">
        <v>45</v>
      </c>
      <c r="C46">
        <f>SUM($C$1:C45)*2+C45+1</f>
        <v>5.8883899596665412E+25</v>
      </c>
      <c r="D46">
        <f t="shared" si="1"/>
        <v>3.7320508075688772</v>
      </c>
    </row>
    <row r="47" spans="1:4">
      <c r="A47">
        <v>46</v>
      </c>
      <c r="C47">
        <f>SUM($C$1:C46)*2+C46+1</f>
        <v>2.1975770504253981E+26</v>
      </c>
      <c r="D47">
        <f t="shared" si="1"/>
        <v>3.7320508075688767</v>
      </c>
    </row>
    <row r="48" spans="1:4">
      <c r="A48">
        <v>47</v>
      </c>
      <c r="C48">
        <f>SUM($C$1:C47)*2+C47+1</f>
        <v>8.2014692057349385E+26</v>
      </c>
      <c r="D48">
        <f t="shared" si="1"/>
        <v>3.7320508075688772</v>
      </c>
    </row>
    <row r="49" spans="1:4">
      <c r="A49">
        <v>48</v>
      </c>
      <c r="C49">
        <f>SUM($C$1:C48)*2+C48+1</f>
        <v>3.0608299772514354E+27</v>
      </c>
      <c r="D49">
        <f t="shared" si="1"/>
        <v>3.7320508075688772</v>
      </c>
    </row>
    <row r="50" spans="1:4">
      <c r="A50">
        <v>49</v>
      </c>
      <c r="C50">
        <f>SUM($C$1:C49)*2+C49+1</f>
        <v>1.1423172988432247E+28</v>
      </c>
      <c r="D50">
        <f t="shared" si="1"/>
        <v>3.7320508075688772</v>
      </c>
    </row>
    <row r="51" spans="1:4">
      <c r="A51">
        <v>50</v>
      </c>
      <c r="C51">
        <f>SUM($C$1:C50)*2+C50+1</f>
        <v>4.263186197647755E+28</v>
      </c>
      <c r="D51">
        <f t="shared" si="1"/>
        <v>3.7320508075688772</v>
      </c>
    </row>
    <row r="52" spans="1:4">
      <c r="A52">
        <v>51</v>
      </c>
      <c r="C52">
        <f>SUM($C$1:C51)*2+C51+1</f>
        <v>1.5910427491747796E+29</v>
      </c>
      <c r="D52">
        <f t="shared" si="1"/>
        <v>3.7320508075688772</v>
      </c>
    </row>
    <row r="53" spans="1:4">
      <c r="A53">
        <v>52</v>
      </c>
      <c r="C53">
        <f>SUM($C$1:C52)*2+C52+1</f>
        <v>5.9378523769343434E+29</v>
      </c>
      <c r="D53">
        <f t="shared" si="1"/>
        <v>3.7320508075688776</v>
      </c>
    </row>
    <row r="54" spans="1:4">
      <c r="A54">
        <v>53</v>
      </c>
      <c r="C54">
        <f>SUM($C$1:C53)*2+C53+1</f>
        <v>2.2160366758562595E+30</v>
      </c>
      <c r="D54">
        <f t="shared" si="1"/>
        <v>3.7320508075688776</v>
      </c>
    </row>
    <row r="55" spans="1:4">
      <c r="A55">
        <v>54</v>
      </c>
      <c r="C55">
        <f>SUM($C$1:C54)*2+C54+1</f>
        <v>8.2703614657316035E+30</v>
      </c>
      <c r="D55">
        <f t="shared" si="1"/>
        <v>3.7320508075688772</v>
      </c>
    </row>
    <row r="56" spans="1:4">
      <c r="A56">
        <v>55</v>
      </c>
      <c r="C56">
        <f>SUM($C$1:C55)*2+C55+1</f>
        <v>3.0865409187070158E+31</v>
      </c>
      <c r="D56">
        <f t="shared" si="1"/>
        <v>3.7320508075688776</v>
      </c>
    </row>
    <row r="57" spans="1:4">
      <c r="A57">
        <v>56</v>
      </c>
      <c r="C57">
        <f>SUM($C$1:C56)*2+C56+1</f>
        <v>1.1519127528254901E+32</v>
      </c>
      <c r="D57">
        <f t="shared" si="1"/>
        <v>3.7320508075688767</v>
      </c>
    </row>
    <row r="58" spans="1:4">
      <c r="C58">
        <f>SUM($C$1:C57)*2+C57+1</f>
        <v>4.2989969194312594E+32</v>
      </c>
      <c r="D58">
        <f t="shared" si="1"/>
        <v>3.7320508075688776</v>
      </c>
    </row>
    <row r="59" spans="1:4">
      <c r="C59">
        <f>SUM($C$1:C58)*2+C58+1</f>
        <v>1.6044074924899546E+33</v>
      </c>
      <c r="D59">
        <f t="shared" si="1"/>
        <v>3.7320508075688767</v>
      </c>
    </row>
    <row r="60" spans="1:4">
      <c r="C60">
        <f>SUM($C$1:C59)*2+C59+1</f>
        <v>5.9877302780166923E+33</v>
      </c>
      <c r="D60">
        <f t="shared" si="1"/>
        <v>3.7320508075688772</v>
      </c>
    </row>
    <row r="61" spans="1:4">
      <c r="C61">
        <f>SUM($C$1:C60)*2+C60+1</f>
        <v>2.2346513619576814E+34</v>
      </c>
      <c r="D61">
        <f t="shared" si="1"/>
        <v>3.7320508075688772</v>
      </c>
    </row>
    <row r="62" spans="1:4">
      <c r="C62">
        <f>SUM($C$1:C61)*2+C61+1</f>
        <v>8.3398324200290574E+34</v>
      </c>
      <c r="D62">
        <f t="shared" si="1"/>
        <v>3.7320508075688776</v>
      </c>
    </row>
    <row r="63" spans="1:4">
      <c r="C63">
        <f>SUM($C$1:C62)*2+C62+1</f>
        <v>3.112467831815855E+35</v>
      </c>
      <c r="D63">
        <f t="shared" si="1"/>
        <v>3.7320508075688776</v>
      </c>
    </row>
    <row r="64" spans="1:4">
      <c r="C64">
        <f>SUM($C$1:C63)*2+C63+1</f>
        <v>1.1615888085260514E+36</v>
      </c>
      <c r="D64">
        <f t="shared" si="1"/>
        <v>3.7320508075688772</v>
      </c>
    </row>
    <row r="65" spans="3:4">
      <c r="C65">
        <f>SUM($C$1:C64)*2+C64+1</f>
        <v>4.3351084509226203E+36</v>
      </c>
      <c r="D65">
        <f t="shared" si="1"/>
        <v>3.7320508075688772</v>
      </c>
    </row>
    <row r="66" spans="3:4">
      <c r="C66">
        <f>SUM($C$1:C65)*2+C65+1</f>
        <v>1.617884499516443E+37</v>
      </c>
      <c r="D66">
        <f t="shared" si="1"/>
        <v>3.7320508075688776</v>
      </c>
    </row>
    <row r="67" spans="3:4">
      <c r="C67">
        <f>SUM($C$1:C66)*2+C66+1</f>
        <v>6.0380271529735105E+37</v>
      </c>
      <c r="D67">
        <f t="shared" ref="D67:D130" si="2">C67/C66</f>
        <v>3.7320508075688776</v>
      </c>
    </row>
    <row r="68" spans="3:4">
      <c r="C68">
        <f>SUM($C$1:C67)*2+C67+1</f>
        <v>2.2534224112377596E+38</v>
      </c>
      <c r="D68">
        <f t="shared" si="2"/>
        <v>3.7320508075688767</v>
      </c>
    </row>
    <row r="69" spans="3:4">
      <c r="C69">
        <f>SUM($C$1:C68)*2+C68+1</f>
        <v>8.4098869296536864E+38</v>
      </c>
      <c r="D69">
        <f t="shared" si="2"/>
        <v>3.7320508075688767</v>
      </c>
    </row>
    <row r="70" spans="3:4">
      <c r="C70">
        <f>SUM($C$1:C69)*2+C69+1</f>
        <v>3.1386125307376987E+39</v>
      </c>
      <c r="D70">
        <f t="shared" si="2"/>
        <v>3.7320508075688772</v>
      </c>
    </row>
    <row r="71" spans="3:4">
      <c r="C71">
        <f>SUM($C$1:C70)*2+C70+1</f>
        <v>1.1713461429985426E+40</v>
      </c>
      <c r="D71">
        <f t="shared" si="2"/>
        <v>3.7320508075688772</v>
      </c>
    </row>
    <row r="72" spans="3:4">
      <c r="C72">
        <f>SUM($C$1:C71)*2+C71+1</f>
        <v>4.3715233189204007E+40</v>
      </c>
      <c r="D72">
        <f t="shared" si="2"/>
        <v>3.7320508075688776</v>
      </c>
    </row>
    <row r="73" spans="3:4">
      <c r="C73">
        <f>SUM($C$1:C72)*2+C72+1</f>
        <v>1.6314747132683059E+41</v>
      </c>
      <c r="D73">
        <f t="shared" si="2"/>
        <v>3.7320508075688772</v>
      </c>
    </row>
    <row r="74" spans="3:4">
      <c r="C74">
        <f>SUM($C$1:C73)*2+C73+1</f>
        <v>6.0887465211811839E+41</v>
      </c>
      <c r="D74">
        <f t="shared" si="2"/>
        <v>3.7320508075688776</v>
      </c>
    </row>
    <row r="75" spans="3:4">
      <c r="C75">
        <f>SUM($C$1:C74)*2+C74+1</f>
        <v>2.272351137145643E+42</v>
      </c>
      <c r="D75">
        <f t="shared" si="2"/>
        <v>3.7320508075688776</v>
      </c>
    </row>
    <row r="76" spans="3:4">
      <c r="C76">
        <f>SUM($C$1:C75)*2+C75+1</f>
        <v>8.480529896464454E+42</v>
      </c>
      <c r="D76">
        <f t="shared" si="2"/>
        <v>3.7320508075688772</v>
      </c>
    </row>
    <row r="77" spans="3:4">
      <c r="C77">
        <f>SUM($C$1:C76)*2+C76+1</f>
        <v>3.1649768448712169E+43</v>
      </c>
      <c r="D77">
        <f t="shared" si="2"/>
        <v>3.7320508075688767</v>
      </c>
    </row>
    <row r="78" spans="3:4">
      <c r="C78">
        <f>SUM($C$1:C77)*2+C77+1</f>
        <v>1.1811854389838423E+44</v>
      </c>
      <c r="D78">
        <f t="shared" si="2"/>
        <v>3.7320508075688776</v>
      </c>
    </row>
    <row r="79" spans="3:4">
      <c r="C79">
        <f>SUM($C$1:C78)*2+C78+1</f>
        <v>4.4082440714482475E+44</v>
      </c>
      <c r="D79">
        <f t="shared" si="2"/>
        <v>3.7320508075688772</v>
      </c>
    </row>
    <row r="80" spans="3:4">
      <c r="C80">
        <f>SUM($C$1:C79)*2+C79+1</f>
        <v>1.6451790846809147E+45</v>
      </c>
      <c r="D80">
        <f t="shared" si="2"/>
        <v>3.7320508075688772</v>
      </c>
    </row>
    <row r="81" spans="3:4">
      <c r="C81">
        <f>SUM($C$1:C80)*2+C80+1</f>
        <v>6.1398919315788344E+45</v>
      </c>
      <c r="D81">
        <f t="shared" si="2"/>
        <v>3.7320508075688776</v>
      </c>
    </row>
    <row r="82" spans="3:4">
      <c r="C82">
        <f>SUM($C$1:C81)*2+C81+1</f>
        <v>2.291438864163442E+46</v>
      </c>
      <c r="D82">
        <f t="shared" si="2"/>
        <v>3.7320508075688767</v>
      </c>
    </row>
    <row r="83" spans="3:4">
      <c r="C83">
        <f>SUM($C$1:C82)*2+C82+1</f>
        <v>8.551766263495885E+46</v>
      </c>
      <c r="D83">
        <f t="shared" si="2"/>
        <v>3.7320508075688772</v>
      </c>
    </row>
    <row r="84" spans="3:4">
      <c r="C84">
        <f>SUM($C$1:C83)*2+C83+1</f>
        <v>3.1915626189820099E+47</v>
      </c>
      <c r="D84">
        <f t="shared" si="2"/>
        <v>3.7320508075688776</v>
      </c>
    </row>
    <row r="85" spans="3:4">
      <c r="C85">
        <f>SUM($C$1:C84)*2+C84+1</f>
        <v>1.191107384957845E+48</v>
      </c>
      <c r="D85">
        <f t="shared" si="2"/>
        <v>3.7320508075688772</v>
      </c>
    </row>
    <row r="86" spans="3:4">
      <c r="C86">
        <f>SUM($C$1:C85)*2+C85+1</f>
        <v>4.4452732779331794E+48</v>
      </c>
      <c r="D86">
        <f t="shared" si="2"/>
        <v>3.7320508075688776</v>
      </c>
    </row>
    <row r="87" spans="3:4">
      <c r="C87">
        <f>SUM($C$1:C86)*2+C86+1</f>
        <v>1.6589985726774872E+49</v>
      </c>
      <c r="D87">
        <f t="shared" si="2"/>
        <v>3.7320508075688772</v>
      </c>
    </row>
    <row r="88" spans="3:4">
      <c r="C88">
        <f>SUM($C$1:C87)*2+C87+1</f>
        <v>6.1914669629166304E+49</v>
      </c>
      <c r="D88">
        <f t="shared" si="2"/>
        <v>3.7320508075688772</v>
      </c>
    </row>
    <row r="89" spans="3:4">
      <c r="C89">
        <f>SUM($C$1:C88)*2+C88+1</f>
        <v>2.3106869278989035E+50</v>
      </c>
      <c r="D89">
        <f t="shared" si="2"/>
        <v>3.7320508075688772</v>
      </c>
    </row>
    <row r="90" spans="3:4">
      <c r="C90">
        <f>SUM($C$1:C89)*2+C89+1</f>
        <v>8.6236010153039505E+50</v>
      </c>
      <c r="D90">
        <f t="shared" si="2"/>
        <v>3.7320508075688772</v>
      </c>
    </row>
    <row r="91" spans="3:4">
      <c r="C91">
        <f>SUM($C$1:C90)*2+C90+1</f>
        <v>3.2183717133316903E+51</v>
      </c>
      <c r="D91">
        <f t="shared" si="2"/>
        <v>3.7320508075688776</v>
      </c>
    </row>
    <row r="92" spans="3:4">
      <c r="C92">
        <f>SUM($C$1:C91)*2+C91+1</f>
        <v>1.2011126751796367E+52</v>
      </c>
      <c r="D92">
        <f t="shared" si="2"/>
        <v>3.7320508075688776</v>
      </c>
    </row>
    <row r="93" spans="3:4">
      <c r="C93">
        <f>SUM($C$1:C92)*2+C92+1</f>
        <v>4.4826135293853776E+52</v>
      </c>
      <c r="D93">
        <f t="shared" si="2"/>
        <v>3.7320508075688772</v>
      </c>
    </row>
    <row r="94" spans="3:4">
      <c r="C94">
        <f>SUM($C$1:C93)*2+C93+1</f>
        <v>1.6729341442361874E+53</v>
      </c>
      <c r="D94">
        <f t="shared" si="2"/>
        <v>3.7320508075688772</v>
      </c>
    </row>
    <row r="95" spans="3:4">
      <c r="C95">
        <f>SUM($C$1:C94)*2+C94+1</f>
        <v>6.2434752240062118E+53</v>
      </c>
      <c r="D95">
        <f t="shared" si="2"/>
        <v>3.7320508075688772</v>
      </c>
    </row>
    <row r="96" spans="3:4">
      <c r="C96">
        <f>SUM($C$1:C95)*2+C95+1</f>
        <v>2.3300966751788657E+54</v>
      </c>
      <c r="D96">
        <f t="shared" si="2"/>
        <v>3.7320508075688767</v>
      </c>
    </row>
    <row r="97" spans="3:4">
      <c r="C97">
        <f>SUM($C$1:C96)*2+C96+1</f>
        <v>8.6960391783148423E+54</v>
      </c>
      <c r="D97">
        <f t="shared" si="2"/>
        <v>3.7320508075688776</v>
      </c>
    </row>
    <row r="98" spans="3:4">
      <c r="C98">
        <f>SUM($C$1:C97)*2+C97+1</f>
        <v>3.2454060038080501E+55</v>
      </c>
      <c r="D98">
        <f t="shared" si="2"/>
        <v>3.7320508075688772</v>
      </c>
    </row>
    <row r="99" spans="3:4">
      <c r="C99">
        <f>SUM($C$1:C98)*2+C98+1</f>
        <v>1.2112020097400716E+56</v>
      </c>
      <c r="D99">
        <f t="shared" si="2"/>
        <v>3.7320508075688772</v>
      </c>
    </row>
    <row r="100" spans="3:4">
      <c r="C100">
        <f>SUM($C$1:C99)*2+C99+1</f>
        <v>4.5202674385794812E+56</v>
      </c>
      <c r="D100">
        <f t="shared" si="2"/>
        <v>3.7320508075688772</v>
      </c>
    </row>
    <row r="101" spans="3:4">
      <c r="C101">
        <f>SUM($C$1:C100)*2+C100+1</f>
        <v>1.6869867744577854E+57</v>
      </c>
      <c r="D101">
        <f t="shared" si="2"/>
        <v>3.7320508075688776</v>
      </c>
    </row>
    <row r="102" spans="3:4">
      <c r="C102">
        <f>SUM($C$1:C101)*2+C101+1</f>
        <v>6.2959203539731931E+57</v>
      </c>
      <c r="D102">
        <f t="shared" si="2"/>
        <v>3.7320508075688772</v>
      </c>
    </row>
    <row r="103" spans="3:4">
      <c r="C103">
        <f>SUM($C$1:C102)*2+C102+1</f>
        <v>2.3496694641434989E+58</v>
      </c>
      <c r="D103">
        <f t="shared" si="2"/>
        <v>3.7320508075688776</v>
      </c>
    </row>
    <row r="104" spans="3:4">
      <c r="C104">
        <f>SUM($C$1:C103)*2+C103+1</f>
        <v>8.7690858211766757E+58</v>
      </c>
      <c r="D104">
        <f t="shared" si="2"/>
        <v>3.7320508075688772</v>
      </c>
    </row>
    <row r="105" spans="3:4">
      <c r="C105">
        <f>SUM($C$1:C104)*2+C104+1</f>
        <v>3.2726673820563205E+59</v>
      </c>
      <c r="D105">
        <f t="shared" si="2"/>
        <v>3.7320508075688772</v>
      </c>
    </row>
    <row r="106" spans="3:4">
      <c r="C106">
        <f>SUM($C$1:C105)*2+C105+1</f>
        <v>1.2213760946107614E+60</v>
      </c>
      <c r="D106">
        <f t="shared" si="2"/>
        <v>3.7320508075688772</v>
      </c>
    </row>
    <row r="107" spans="3:4">
      <c r="C107">
        <f>SUM($C$1:C106)*2+C106+1</f>
        <v>4.5582376402374138E+60</v>
      </c>
      <c r="D107">
        <f t="shared" si="2"/>
        <v>3.7320508075688772</v>
      </c>
    </row>
    <row r="108" spans="3:4">
      <c r="C108">
        <f>SUM($C$1:C107)*2+C107+1</f>
        <v>1.7011574466338893E+61</v>
      </c>
      <c r="D108">
        <f t="shared" si="2"/>
        <v>3.7320508075688772</v>
      </c>
    </row>
    <row r="109" spans="3:4">
      <c r="C109">
        <f>SUM($C$1:C108)*2+C108+1</f>
        <v>6.3488060225118165E+61</v>
      </c>
      <c r="D109">
        <f t="shared" si="2"/>
        <v>3.7320508075688776</v>
      </c>
    </row>
    <row r="110" spans="3:4">
      <c r="C110">
        <f>SUM($C$1:C109)*2+C109+1</f>
        <v>2.3694066643413376E+62</v>
      </c>
      <c r="D110">
        <f t="shared" si="2"/>
        <v>3.7320508075688772</v>
      </c>
    </row>
    <row r="111" spans="3:4">
      <c r="C111">
        <f>SUM($C$1:C110)*2+C110+1</f>
        <v>8.8427460551141687E+62</v>
      </c>
      <c r="D111">
        <f t="shared" si="2"/>
        <v>3.7320508075688772</v>
      </c>
    </row>
    <row r="112" spans="3:4">
      <c r="C112">
        <f>SUM($C$1:C111)*2+C111+1</f>
        <v>3.3001577556115338E+63</v>
      </c>
      <c r="D112">
        <f t="shared" si="2"/>
        <v>3.7320508075688772</v>
      </c>
    </row>
    <row r="113" spans="3:4">
      <c r="C113">
        <f>SUM($C$1:C112)*2+C112+1</f>
        <v>1.2316356416934717E+64</v>
      </c>
      <c r="D113">
        <f t="shared" si="2"/>
        <v>3.7320508075688767</v>
      </c>
    </row>
    <row r="114" spans="3:4">
      <c r="C114">
        <f>SUM($C$1:C113)*2+C113+1</f>
        <v>4.5965267912127331E+64</v>
      </c>
      <c r="D114">
        <f t="shared" si="2"/>
        <v>3.7320508075688772</v>
      </c>
    </row>
    <row r="115" spans="3:4">
      <c r="C115">
        <f>SUM($C$1:C114)*2+C114+1</f>
        <v>1.715447152315746E+65</v>
      </c>
      <c r="D115">
        <f t="shared" si="2"/>
        <v>3.7320508075688772</v>
      </c>
    </row>
    <row r="116" spans="3:4">
      <c r="C116">
        <f>SUM($C$1:C115)*2+C115+1</f>
        <v>6.4021359301417102E+65</v>
      </c>
      <c r="D116">
        <f t="shared" si="2"/>
        <v>3.7320508075688772</v>
      </c>
    </row>
    <row r="117" spans="3:4">
      <c r="C117">
        <f>SUM($C$1:C116)*2+C116+1</f>
        <v>2.3893096568251098E+66</v>
      </c>
      <c r="D117">
        <f t="shared" si="2"/>
        <v>3.7320508075688776</v>
      </c>
    </row>
    <row r="118" spans="3:4">
      <c r="C118">
        <f>SUM($C$1:C117)*2+C117+1</f>
        <v>8.917025034286268E+66</v>
      </c>
      <c r="D118">
        <f t="shared" si="2"/>
        <v>3.7320508075688772</v>
      </c>
    </row>
    <row r="119" spans="3:4">
      <c r="C119">
        <f>SUM($C$1:C118)*2+C118+1</f>
        <v>3.3278790480319965E+67</v>
      </c>
      <c r="D119">
        <f t="shared" si="2"/>
        <v>3.7320508075688776</v>
      </c>
    </row>
    <row r="120" spans="3:4">
      <c r="C120">
        <f>SUM($C$1:C119)*2+C119+1</f>
        <v>1.2419813688699358E+68</v>
      </c>
      <c r="D120">
        <f t="shared" si="2"/>
        <v>3.7320508075688767</v>
      </c>
    </row>
    <row r="121" spans="3:4">
      <c r="C121">
        <f>SUM($C$1:C120)*2+C120+1</f>
        <v>4.6351375706765433E+68</v>
      </c>
      <c r="D121">
        <f t="shared" si="2"/>
        <v>3.7320508075688772</v>
      </c>
    </row>
    <row r="122" spans="3:4">
      <c r="C122">
        <f>SUM($C$1:C121)*2+C121+1</f>
        <v>1.729856891383624E+69</v>
      </c>
      <c r="D122">
        <f t="shared" si="2"/>
        <v>3.7320508075688776</v>
      </c>
    </row>
    <row r="123" spans="3:4">
      <c r="C123">
        <f>SUM($C$1:C122)*2+C122+1</f>
        <v>6.4559138084668413E+69</v>
      </c>
      <c r="D123">
        <f t="shared" si="2"/>
        <v>3.7320508075688772</v>
      </c>
    </row>
    <row r="124" spans="3:4">
      <c r="C124">
        <f>SUM($C$1:C123)*2+C123+1</f>
        <v>2.4093798342483741E+70</v>
      </c>
      <c r="D124">
        <f t="shared" si="2"/>
        <v>3.7320508075688772</v>
      </c>
    </row>
    <row r="125" spans="3:4">
      <c r="C125">
        <f>SUM($C$1:C124)*2+C124+1</f>
        <v>8.9919279561468118E+70</v>
      </c>
      <c r="D125">
        <f t="shared" si="2"/>
        <v>3.7320508075688772</v>
      </c>
    </row>
    <row r="126" spans="3:4">
      <c r="C126">
        <f>SUM($C$1:C125)*2+C125+1</f>
        <v>3.3558331990338873E+71</v>
      </c>
      <c r="D126">
        <f t="shared" si="2"/>
        <v>3.7320508075688772</v>
      </c>
    </row>
    <row r="127" spans="3:4">
      <c r="C127">
        <f>SUM($C$1:C126)*2+C126+1</f>
        <v>1.2524140000520868E+72</v>
      </c>
      <c r="D127">
        <f t="shared" si="2"/>
        <v>3.7320508075688772</v>
      </c>
    </row>
    <row r="128" spans="3:4">
      <c r="C128">
        <f>SUM($C$1:C127)*2+C127+1</f>
        <v>4.6740726803049585E+72</v>
      </c>
      <c r="D128">
        <f t="shared" si="2"/>
        <v>3.7320508075688772</v>
      </c>
    </row>
    <row r="129" spans="3:4">
      <c r="C129">
        <f>SUM($C$1:C128)*2+C128+1</f>
        <v>1.7443876721167746E+73</v>
      </c>
      <c r="D129">
        <f t="shared" si="2"/>
        <v>3.7320508075688772</v>
      </c>
    </row>
    <row r="130" spans="3:4">
      <c r="C130">
        <f>SUM($C$1:C129)*2+C129+1</f>
        <v>6.5101434204366032E+73</v>
      </c>
      <c r="D130">
        <f t="shared" si="2"/>
        <v>3.7320508075688776</v>
      </c>
    </row>
    <row r="131" spans="3:4">
      <c r="C131">
        <f>SUM($C$1:C130)*2+C130+1</f>
        <v>2.429618600962964E+74</v>
      </c>
      <c r="D131">
        <f t="shared" ref="D131:D194" si="3">C131/C130</f>
        <v>3.7320508075688776</v>
      </c>
    </row>
    <row r="132" spans="3:4">
      <c r="C132">
        <f>SUM($C$1:C131)*2+C131+1</f>
        <v>9.0674600618081942E+74</v>
      </c>
      <c r="D132">
        <f t="shared" si="3"/>
        <v>3.7320508075688767</v>
      </c>
    </row>
    <row r="133" spans="3:4">
      <c r="C133">
        <f>SUM($C$1:C132)*2+C132+1</f>
        <v>3.3840221646269815E+75</v>
      </c>
      <c r="D133">
        <f t="shared" si="3"/>
        <v>3.7320508075688776</v>
      </c>
    </row>
    <row r="134" spans="3:4">
      <c r="C134">
        <f>SUM($C$1:C133)*2+C133+1</f>
        <v>1.2629342652327107E+76</v>
      </c>
      <c r="D134">
        <f t="shared" si="3"/>
        <v>3.7320508075688776</v>
      </c>
    </row>
    <row r="135" spans="3:4">
      <c r="C135">
        <f>SUM($C$1:C134)*2+C134+1</f>
        <v>4.7133348444681452E+76</v>
      </c>
      <c r="D135">
        <f t="shared" si="3"/>
        <v>3.7320508075688776</v>
      </c>
    </row>
    <row r="136" spans="3:4">
      <c r="C136">
        <f>SUM($C$1:C135)*2+C135+1</f>
        <v>1.7590405112639869E+77</v>
      </c>
      <c r="D136">
        <f t="shared" si="3"/>
        <v>3.7320508075688772</v>
      </c>
    </row>
    <row r="137" spans="3:4">
      <c r="C137">
        <f>SUM($C$1:C136)*2+C136+1</f>
        <v>6.5648285606091333E+77</v>
      </c>
      <c r="D137">
        <f t="shared" si="3"/>
        <v>3.7320508075688776</v>
      </c>
    </row>
    <row r="138" spans="3:4">
      <c r="C138">
        <f>SUM($C$1:C137)*2+C137+1</f>
        <v>2.4500273731172548E+78</v>
      </c>
      <c r="D138">
        <f t="shared" si="3"/>
        <v>3.7320508075688776</v>
      </c>
    </row>
    <row r="139" spans="3:4">
      <c r="C139">
        <f>SUM($C$1:C138)*2+C138+1</f>
        <v>9.1436266364081059E+78</v>
      </c>
      <c r="D139">
        <f t="shared" si="3"/>
        <v>3.7320508075688772</v>
      </c>
    </row>
    <row r="140" spans="3:4">
      <c r="C140">
        <f>SUM($C$1:C139)*2+C139+1</f>
        <v>3.4124479172515169E+79</v>
      </c>
      <c r="D140">
        <f t="shared" si="3"/>
        <v>3.7320508075688772</v>
      </c>
    </row>
    <row r="141" spans="3:4">
      <c r="C141">
        <f>SUM($C$1:C140)*2+C140+1</f>
        <v>1.2735429005365257E+80</v>
      </c>
      <c r="D141">
        <f t="shared" si="3"/>
        <v>3.7320508075688772</v>
      </c>
    </row>
    <row r="142" spans="3:4">
      <c r="C142">
        <f>SUM($C$1:C141)*2+C141+1</f>
        <v>4.752926810420951E+80</v>
      </c>
      <c r="D142">
        <f t="shared" si="3"/>
        <v>3.7320508075688772</v>
      </c>
    </row>
    <row r="143" spans="3:4">
      <c r="C143">
        <f>SUM($C$1:C142)*2+C142+1</f>
        <v>1.7738164341147278E+81</v>
      </c>
      <c r="D143">
        <f t="shared" si="3"/>
        <v>3.7320508075688772</v>
      </c>
    </row>
    <row r="144" spans="3:4">
      <c r="C144">
        <f>SUM($C$1:C143)*2+C143+1</f>
        <v>6.6199730554168161E+81</v>
      </c>
      <c r="D144">
        <f t="shared" si="3"/>
        <v>3.7320508075688772</v>
      </c>
    </row>
    <row r="145" spans="3:4">
      <c r="C145">
        <f>SUM($C$1:C144)*2+C144+1</f>
        <v>2.4706075787552537E+82</v>
      </c>
      <c r="D145">
        <f t="shared" si="3"/>
        <v>3.7320508075688772</v>
      </c>
    </row>
    <row r="146" spans="3:4">
      <c r="C146">
        <f>SUM($C$1:C145)*2+C145+1</f>
        <v>9.2204330094793335E+82</v>
      </c>
      <c r="D146">
        <f t="shared" si="3"/>
        <v>3.7320508075688772</v>
      </c>
    </row>
    <row r="147" spans="3:4">
      <c r="C147">
        <f>SUM($C$1:C146)*2+C146+1</f>
        <v>3.4411124459162082E+83</v>
      </c>
      <c r="D147">
        <f t="shared" si="3"/>
        <v>3.7320508075688776</v>
      </c>
    </row>
    <row r="148" spans="3:4">
      <c r="C148">
        <f>SUM($C$1:C147)*2+C147+1</f>
        <v>1.2842406482716899E+84</v>
      </c>
      <c r="D148">
        <f t="shared" si="3"/>
        <v>3.7320508075688772</v>
      </c>
    </row>
    <row r="149" spans="3:4">
      <c r="C149">
        <f>SUM($C$1:C148)*2+C148+1</f>
        <v>4.7928513484951392E+84</v>
      </c>
      <c r="D149">
        <f t="shared" si="3"/>
        <v>3.7320508075688776</v>
      </c>
    </row>
    <row r="150" spans="3:4">
      <c r="C150">
        <f>SUM($C$1:C149)*2+C149+1</f>
        <v>1.7887164745708865E+85</v>
      </c>
      <c r="D150">
        <f t="shared" si="3"/>
        <v>3.7320508075688767</v>
      </c>
    </row>
    <row r="151" spans="3:4">
      <c r="C151">
        <f>SUM($C$1:C150)*2+C150+1</f>
        <v>6.675580763434033E+85</v>
      </c>
      <c r="D151">
        <f t="shared" si="3"/>
        <v>3.7320508075688776</v>
      </c>
    </row>
    <row r="152" spans="3:4">
      <c r="C152">
        <f>SUM($C$1:C151)*2+C151+1</f>
        <v>2.4913606579165245E+86</v>
      </c>
      <c r="D152">
        <f t="shared" si="3"/>
        <v>3.7320508075688772</v>
      </c>
    </row>
    <row r="153" spans="3:4">
      <c r="C153">
        <f>SUM($C$1:C152)*2+C152+1</f>
        <v>9.2978845553226951E+86</v>
      </c>
      <c r="D153">
        <f t="shared" si="3"/>
        <v>3.7320508075688772</v>
      </c>
    </row>
    <row r="154" spans="3:4">
      <c r="C154">
        <f>SUM($C$1:C153)*2+C153+1</f>
        <v>3.4700177563374254E+87</v>
      </c>
      <c r="D154">
        <f t="shared" si="3"/>
        <v>3.7320508075688772</v>
      </c>
    </row>
    <row r="155" spans="3:4">
      <c r="C155">
        <f>SUM($C$1:C154)*2+C154+1</f>
        <v>1.2950282569817432E+88</v>
      </c>
      <c r="D155">
        <f t="shared" si="3"/>
        <v>3.7320508075688772</v>
      </c>
    </row>
    <row r="156" spans="3:4">
      <c r="C156">
        <f>SUM($C$1:C155)*2+C155+1</f>
        <v>4.8331112522932304E+88</v>
      </c>
      <c r="D156">
        <f t="shared" si="3"/>
        <v>3.7320508075688776</v>
      </c>
    </row>
    <row r="157" spans="3:4">
      <c r="C157">
        <f>SUM($C$1:C156)*2+C156+1</f>
        <v>1.8037416752191179E+89</v>
      </c>
      <c r="D157">
        <f t="shared" si="3"/>
        <v>3.7320508075688776</v>
      </c>
    </row>
    <row r="158" spans="3:4">
      <c r="C158">
        <f>SUM($C$1:C157)*2+C157+1</f>
        <v>6.7316555756471487E+89</v>
      </c>
      <c r="D158">
        <f t="shared" si="3"/>
        <v>3.7320508075688772</v>
      </c>
    </row>
    <row r="159" spans="3:4">
      <c r="C159">
        <f>SUM($C$1:C158)*2+C158+1</f>
        <v>2.5122880627369479E+90</v>
      </c>
      <c r="D159">
        <f t="shared" si="3"/>
        <v>3.7320508075688776</v>
      </c>
    </row>
    <row r="160" spans="3:4">
      <c r="C160">
        <f>SUM($C$1:C159)*2+C159+1</f>
        <v>9.375986693383076E+90</v>
      </c>
      <c r="D160">
        <f t="shared" si="3"/>
        <v>3.7320508075688772</v>
      </c>
    </row>
    <row r="161" spans="3:4">
      <c r="C161">
        <f>SUM($C$1:C160)*2+C160+1</f>
        <v>3.499165871079536E+91</v>
      </c>
      <c r="D161">
        <f t="shared" si="3"/>
        <v>3.7320508075688776</v>
      </c>
    </row>
    <row r="162" spans="3:4">
      <c r="C162">
        <f>SUM($C$1:C161)*2+C161+1</f>
        <v>1.3059064814979835E+92</v>
      </c>
      <c r="D162">
        <f t="shared" si="3"/>
        <v>3.7320508075688767</v>
      </c>
    </row>
    <row r="163" spans="3:4">
      <c r="C163">
        <f>SUM($C$1:C162)*2+C162+1</f>
        <v>4.8737093388839803E+92</v>
      </c>
      <c r="D163">
        <f t="shared" si="3"/>
        <v>3.7320508075688772</v>
      </c>
    </row>
    <row r="164" spans="3:4">
      <c r="C164">
        <f>SUM($C$1:C163)*2+C163+1</f>
        <v>1.8188930874037937E+93</v>
      </c>
      <c r="D164">
        <f t="shared" si="3"/>
        <v>3.7320508075688772</v>
      </c>
    </row>
    <row r="165" spans="3:4">
      <c r="C165">
        <f>SUM($C$1:C164)*2+C164+1</f>
        <v>6.7882014157267771E+93</v>
      </c>
      <c r="D165">
        <f t="shared" si="3"/>
        <v>3.7320508075688776</v>
      </c>
    </row>
    <row r="166" spans="3:4">
      <c r="C166">
        <f>SUM($C$1:C165)*2+C165+1</f>
        <v>2.5333912575503318E+94</v>
      </c>
      <c r="D166">
        <f t="shared" si="3"/>
        <v>3.7320508075688776</v>
      </c>
    </row>
    <row r="167" spans="3:4">
      <c r="C167">
        <f>SUM($C$1:C166)*2+C166+1</f>
        <v>9.4547448886286494E+94</v>
      </c>
      <c r="D167">
        <f t="shared" si="3"/>
        <v>3.7320508075688772</v>
      </c>
    </row>
    <row r="168" spans="3:4">
      <c r="C168">
        <f>SUM($C$1:C167)*2+C167+1</f>
        <v>3.5285588296964264E+95</v>
      </c>
      <c r="D168">
        <f t="shared" si="3"/>
        <v>3.7320508075688772</v>
      </c>
    </row>
    <row r="169" spans="3:4">
      <c r="C169">
        <f>SUM($C$1:C168)*2+C168+1</f>
        <v>1.3168760829922841E+96</v>
      </c>
      <c r="D169">
        <f t="shared" si="3"/>
        <v>3.7320508075688772</v>
      </c>
    </row>
    <row r="170" spans="3:4">
      <c r="C170">
        <f>SUM($C$1:C169)*2+C169+1</f>
        <v>4.9146484489994934E+96</v>
      </c>
      <c r="D170">
        <f t="shared" si="3"/>
        <v>3.7320508075688772</v>
      </c>
    </row>
    <row r="171" spans="3:4">
      <c r="C171">
        <f>SUM($C$1:C170)*2+C170+1</f>
        <v>1.834171771300569E+97</v>
      </c>
      <c r="D171">
        <f t="shared" si="3"/>
        <v>3.7320508075688772</v>
      </c>
    </row>
    <row r="172" spans="3:4">
      <c r="C172">
        <f>SUM($C$1:C171)*2+C171+1</f>
        <v>6.8452222403023268E+97</v>
      </c>
      <c r="D172">
        <f t="shared" si="3"/>
        <v>3.7320508075688772</v>
      </c>
    </row>
    <row r="173" spans="3:4">
      <c r="C173">
        <f>SUM($C$1:C172)*2+C172+1</f>
        <v>2.554671718990874E+98</v>
      </c>
      <c r="D173">
        <f t="shared" si="3"/>
        <v>3.7320508075688776</v>
      </c>
    </row>
    <row r="174" spans="3:4">
      <c r="C174">
        <f>SUM($C$1:C173)*2+C173+1</f>
        <v>9.5341646519332628E+98</v>
      </c>
      <c r="D174">
        <f t="shared" si="3"/>
        <v>3.7320508075688772</v>
      </c>
    </row>
    <row r="175" spans="3:4">
      <c r="C175">
        <f>SUM($C$1:C174)*2+C174+1</f>
        <v>3.5581986888742179E+99</v>
      </c>
      <c r="D175">
        <f t="shared" si="3"/>
        <v>3.7320508075688776</v>
      </c>
    </row>
    <row r="176" spans="3:4">
      <c r="C176">
        <f>SUM($C$1:C175)*2+C175+1</f>
        <v>1.3279378290303545E+100</v>
      </c>
      <c r="D176">
        <f t="shared" si="3"/>
        <v>3.7320508075688772</v>
      </c>
    </row>
    <row r="177" spans="3:4">
      <c r="C177">
        <f>SUM($C$1:C176)*2+C176+1</f>
        <v>4.9559314472339959E+100</v>
      </c>
      <c r="D177">
        <f t="shared" si="3"/>
        <v>3.7320508075688772</v>
      </c>
    </row>
    <row r="178" spans="3:4">
      <c r="C178">
        <f>SUM($C$1:C177)*2+C177+1</f>
        <v>1.849578795990563E+101</v>
      </c>
      <c r="D178">
        <f t="shared" si="3"/>
        <v>3.7320508075688772</v>
      </c>
    </row>
    <row r="179" spans="3:4">
      <c r="C179">
        <f>SUM($C$1:C178)*2+C178+1</f>
        <v>6.9027220392388515E+101</v>
      </c>
      <c r="D179">
        <f t="shared" si="3"/>
        <v>3.7320508075688767</v>
      </c>
    </row>
    <row r="180" spans="3:4">
      <c r="C180">
        <f>SUM($C$1:C179)*2+C179+1</f>
        <v>2.5761309360964842E+102</v>
      </c>
      <c r="D180">
        <f t="shared" si="3"/>
        <v>3.7320508075688772</v>
      </c>
    </row>
    <row r="181" spans="3:4">
      <c r="C181">
        <f>SUM($C$1:C180)*2+C180+1</f>
        <v>9.6142515404620518E+102</v>
      </c>
      <c r="D181">
        <f t="shared" si="3"/>
        <v>3.7320508075688772</v>
      </c>
    </row>
    <row r="182" spans="3:4">
      <c r="C182">
        <f>SUM($C$1:C181)*2+C181+1</f>
        <v>3.588087522575172E+103</v>
      </c>
      <c r="D182">
        <f t="shared" si="3"/>
        <v>3.7320508075688772</v>
      </c>
    </row>
    <row r="183" spans="3:4">
      <c r="C183">
        <f>SUM($C$1:C182)*2+C182+1</f>
        <v>1.3390924936254483E+104</v>
      </c>
      <c r="D183">
        <f t="shared" si="3"/>
        <v>3.7320508075688772</v>
      </c>
    </row>
    <row r="184" spans="3:4">
      <c r="C184">
        <f>SUM($C$1:C183)*2+C183+1</f>
        <v>4.9975612222442758E+104</v>
      </c>
      <c r="D184">
        <f t="shared" si="3"/>
        <v>3.7320508075688772</v>
      </c>
    </row>
    <row r="185" spans="3:4">
      <c r="C185">
        <f>SUM($C$1:C184)*2+C184+1</f>
        <v>1.8651152395351655E+105</v>
      </c>
      <c r="D185">
        <f t="shared" si="3"/>
        <v>3.7320508075688772</v>
      </c>
    </row>
    <row r="186" spans="3:4">
      <c r="C186">
        <f>SUM($C$1:C185)*2+C185+1</f>
        <v>6.9607048359162344E+105</v>
      </c>
      <c r="D186">
        <f t="shared" si="3"/>
        <v>3.7320508075688772</v>
      </c>
    </row>
    <row r="187" spans="3:4">
      <c r="C187">
        <f>SUM($C$1:C186)*2+C186+1</f>
        <v>2.5977704104129773E+106</v>
      </c>
      <c r="D187">
        <f t="shared" si="3"/>
        <v>3.7320508075688776</v>
      </c>
    </row>
    <row r="188" spans="3:4">
      <c r="C188">
        <f>SUM($C$1:C187)*2+C187+1</f>
        <v>9.6950111580602847E+106</v>
      </c>
      <c r="D188">
        <f t="shared" si="3"/>
        <v>3.7320508075688767</v>
      </c>
    </row>
    <row r="189" spans="3:4">
      <c r="C189">
        <f>SUM($C$1:C188)*2+C188+1</f>
        <v>3.6182274221828161E+107</v>
      </c>
      <c r="D189">
        <f t="shared" si="3"/>
        <v>3.7320508075688772</v>
      </c>
    </row>
    <row r="190" spans="3:4">
      <c r="C190">
        <f>SUM($C$1:C189)*2+C189+1</f>
        <v>1.3503408572925236E+108</v>
      </c>
      <c r="D190">
        <f t="shared" si="3"/>
        <v>3.7320508075688772</v>
      </c>
    </row>
    <row r="191" spans="3:4">
      <c r="C191">
        <f>SUM($C$1:C190)*2+C190+1</f>
        <v>5.0395406869518132E+108</v>
      </c>
      <c r="D191">
        <f t="shared" si="3"/>
        <v>3.7320508075688776</v>
      </c>
    </row>
    <row r="192" spans="3:4">
      <c r="C192">
        <f>SUM($C$1:C191)*2+C191+1</f>
        <v>1.8807821890514727E+109</v>
      </c>
      <c r="D192">
        <f t="shared" si="3"/>
        <v>3.7320508075688767</v>
      </c>
    </row>
    <row r="193" spans="3:4">
      <c r="C193">
        <f>SUM($C$1:C192)*2+C192+1</f>
        <v>7.0191746875107099E+109</v>
      </c>
      <c r="D193">
        <f t="shared" si="3"/>
        <v>3.7320508075688776</v>
      </c>
    </row>
    <row r="194" spans="3:4">
      <c r="C194">
        <f>SUM($C$1:C193)*2+C193+1</f>
        <v>2.6195916560991366E+110</v>
      </c>
      <c r="D194">
        <f t="shared" si="3"/>
        <v>3.7320508075688772</v>
      </c>
    </row>
    <row r="195" spans="3:4">
      <c r="C195">
        <f>SUM($C$1:C194)*2+C194+1</f>
        <v>9.7764491556454758E+110</v>
      </c>
      <c r="D195">
        <f t="shared" ref="D195:D258" si="4">C195/C194</f>
        <v>3.7320508075688772</v>
      </c>
    </row>
    <row r="196" spans="3:4">
      <c r="C196">
        <f>SUM($C$1:C195)*2+C195+1</f>
        <v>3.6486204966482767E+111</v>
      </c>
      <c r="D196">
        <f t="shared" si="4"/>
        <v>3.7320508075688772</v>
      </c>
    </row>
    <row r="197" spans="3:4">
      <c r="C197">
        <f>SUM($C$1:C196)*2+C196+1</f>
        <v>1.361683707102856E+112</v>
      </c>
      <c r="D197">
        <f t="shared" si="4"/>
        <v>3.7320508075688776</v>
      </c>
    </row>
    <row r="198" spans="3:4">
      <c r="C198">
        <f>SUM($C$1:C197)*2+C197+1</f>
        <v>5.0818727787465968E+112</v>
      </c>
      <c r="D198">
        <f t="shared" si="4"/>
        <v>3.7320508075688776</v>
      </c>
    </row>
    <row r="199" spans="3:4">
      <c r="C199">
        <f>SUM($C$1:C198)*2+C198+1</f>
        <v>1.8965807407883532E+113</v>
      </c>
      <c r="D199">
        <f t="shared" si="4"/>
        <v>3.7320508075688772</v>
      </c>
    </row>
    <row r="200" spans="3:4">
      <c r="C200">
        <f>SUM($C$1:C199)*2+C199+1</f>
        <v>7.0781356852787525E+113</v>
      </c>
      <c r="D200">
        <f t="shared" si="4"/>
        <v>3.7320508075688772</v>
      </c>
    </row>
    <row r="201" spans="3:4">
      <c r="C201">
        <f>SUM($C$1:C200)*2+C200+1</f>
        <v>2.6415962000326654E+114</v>
      </c>
      <c r="D201">
        <f t="shared" si="4"/>
        <v>3.7320508075688767</v>
      </c>
    </row>
    <row r="202" spans="3:4">
      <c r="C202">
        <f>SUM($C$1:C201)*2+C201+1</f>
        <v>9.8585712316027876E+114</v>
      </c>
      <c r="D202">
        <f t="shared" si="4"/>
        <v>3.7320508075688776</v>
      </c>
    </row>
    <row r="203" spans="3:4">
      <c r="C203">
        <f>SUM($C$1:C202)*2+C202+1</f>
        <v>3.6792688726378487E+115</v>
      </c>
      <c r="D203">
        <f t="shared" si="4"/>
        <v>3.7320508075688776</v>
      </c>
    </row>
    <row r="204" spans="3:4">
      <c r="C204">
        <f>SUM($C$1:C203)*2+C203+1</f>
        <v>1.3731218367391117E+116</v>
      </c>
      <c r="D204">
        <f t="shared" si="4"/>
        <v>3.7320508075688776</v>
      </c>
    </row>
    <row r="205" spans="3:4">
      <c r="C205">
        <f>SUM($C$1:C204)*2+C204+1</f>
        <v>5.1245604596926616E+116</v>
      </c>
      <c r="D205">
        <f t="shared" si="4"/>
        <v>3.7320508075688772</v>
      </c>
    </row>
    <row r="206" spans="3:4">
      <c r="C206">
        <f>SUM($C$1:C205)*2+C205+1</f>
        <v>1.9125120002031536E+117</v>
      </c>
      <c r="D206">
        <f t="shared" si="4"/>
        <v>3.7320508075688776</v>
      </c>
    </row>
    <row r="207" spans="3:4">
      <c r="C207">
        <f>SUM($C$1:C206)*2+C206+1</f>
        <v>7.1375919548433479E+117</v>
      </c>
      <c r="D207">
        <f t="shared" si="4"/>
        <v>3.7320508075688772</v>
      </c>
    </row>
    <row r="208" spans="3:4">
      <c r="C208">
        <f>SUM($C$1:C207)*2+C207+1</f>
        <v>2.6637855819170237E+118</v>
      </c>
      <c r="D208">
        <f t="shared" si="4"/>
        <v>3.7320508075688772</v>
      </c>
    </row>
    <row r="209" spans="3:4">
      <c r="C209">
        <f>SUM($C$1:C208)*2+C208+1</f>
        <v>9.9413831321837604E+118</v>
      </c>
      <c r="D209">
        <f t="shared" si="4"/>
        <v>3.7320508075688776</v>
      </c>
    </row>
    <row r="210" spans="3:4">
      <c r="C210">
        <f>SUM($C$1:C209)*2+C209+1</f>
        <v>3.7101746946818017E+119</v>
      </c>
      <c r="D210">
        <f t="shared" si="4"/>
        <v>3.7320508075688772</v>
      </c>
    </row>
    <row r="211" spans="3:4">
      <c r="C211">
        <f>SUM($C$1:C210)*2+C210+1</f>
        <v>1.384656046550883E+120</v>
      </c>
      <c r="D211">
        <f t="shared" si="4"/>
        <v>3.7320508075688772</v>
      </c>
    </row>
    <row r="212" spans="3:4">
      <c r="C212">
        <f>SUM($C$1:C211)*2+C211+1</f>
        <v>5.1676067167353516E+120</v>
      </c>
      <c r="D212">
        <f t="shared" si="4"/>
        <v>3.7320508075688772</v>
      </c>
    </row>
    <row r="213" spans="3:4">
      <c r="C213">
        <f>SUM($C$1:C212)*2+C212+1</f>
        <v>1.9285770820390526E+121</v>
      </c>
      <c r="D213">
        <f t="shared" si="4"/>
        <v>3.7320508075688776</v>
      </c>
    </row>
    <row r="214" spans="3:4">
      <c r="C214">
        <f>SUM($C$1:C213)*2+C213+1</f>
        <v>7.1975476564826752E+121</v>
      </c>
      <c r="D214">
        <f t="shared" si="4"/>
        <v>3.7320508075688772</v>
      </c>
    </row>
    <row r="215" spans="3:4">
      <c r="C215">
        <f>SUM($C$1:C214)*2+C214+1</f>
        <v>2.6861613543891648E+122</v>
      </c>
      <c r="D215">
        <f t="shared" si="4"/>
        <v>3.7320508075688772</v>
      </c>
    </row>
    <row r="216" spans="3:4">
      <c r="C216">
        <f>SUM($C$1:C215)*2+C215+1</f>
        <v>1.0024890651908392E+123</v>
      </c>
      <c r="D216">
        <f t="shared" si="4"/>
        <v>3.7320508075688772</v>
      </c>
    </row>
    <row r="217" spans="3:4">
      <c r="C217">
        <f>SUM($C$1:C216)*2+C216+1</f>
        <v>3.7413401253244407E+123</v>
      </c>
      <c r="D217">
        <f t="shared" si="4"/>
        <v>3.7320508075688776</v>
      </c>
    </row>
    <row r="218" spans="3:4">
      <c r="C218">
        <f>SUM($C$1:C217)*2+C217+1</f>
        <v>1.3962871436106923E+124</v>
      </c>
      <c r="D218">
        <f t="shared" si="4"/>
        <v>3.7320508075688772</v>
      </c>
    </row>
    <row r="219" spans="3:4">
      <c r="C219">
        <f>SUM($C$1:C218)*2+C218+1</f>
        <v>5.2110145619103252E+124</v>
      </c>
      <c r="D219">
        <f t="shared" si="4"/>
        <v>3.7320508075688776</v>
      </c>
    </row>
    <row r="220" spans="3:4">
      <c r="C220">
        <f>SUM($C$1:C219)*2+C219+1</f>
        <v>1.944777110403061E+125</v>
      </c>
      <c r="D220">
        <f t="shared" si="4"/>
        <v>3.7320508075688776</v>
      </c>
    </row>
    <row r="221" spans="3:4">
      <c r="C221">
        <f>SUM($C$1:C220)*2+C220+1</f>
        <v>7.258006985421212E+125</v>
      </c>
      <c r="D221">
        <f t="shared" si="4"/>
        <v>3.7320508075688776</v>
      </c>
    </row>
    <row r="222" spans="3:4">
      <c r="C222">
        <f>SUM($C$1:C221)*2+C221+1</f>
        <v>2.7087250831281789E+126</v>
      </c>
      <c r="D222">
        <f t="shared" si="4"/>
        <v>3.7320508075688776</v>
      </c>
    </row>
    <row r="223" spans="3:4">
      <c r="C223">
        <f>SUM($C$1:C222)*2+C222+1</f>
        <v>1.0109099633970594E+127</v>
      </c>
      <c r="D223">
        <f t="shared" si="4"/>
        <v>3.7320508075688772</v>
      </c>
    </row>
    <row r="224" spans="3:4">
      <c r="C224">
        <f>SUM($C$1:C223)*2+C223+1</f>
        <v>3.7727673452754198E+127</v>
      </c>
      <c r="D224">
        <f t="shared" si="4"/>
        <v>3.7320508075688772</v>
      </c>
    </row>
    <row r="225" spans="3:4">
      <c r="C225">
        <f>SUM($C$1:C224)*2+C224+1</f>
        <v>1.408015941770462E+128</v>
      </c>
      <c r="D225">
        <f t="shared" si="4"/>
        <v>3.7320508075688772</v>
      </c>
    </row>
    <row r="226" spans="3:4">
      <c r="C226">
        <f>SUM($C$1:C225)*2+C225+1</f>
        <v>5.2547870325543055E+128</v>
      </c>
      <c r="D226">
        <f t="shared" si="4"/>
        <v>3.7320508075688772</v>
      </c>
    </row>
    <row r="227" spans="3:4">
      <c r="C227">
        <f>SUM($C$1:C226)*2+C226+1</f>
        <v>1.9611132188446758E+129</v>
      </c>
      <c r="D227">
        <f t="shared" si="4"/>
        <v>3.7320508075688767</v>
      </c>
    </row>
    <row r="228" spans="3:4">
      <c r="C228">
        <f>SUM($C$1:C227)*2+C227+1</f>
        <v>7.3189741721232729E+129</v>
      </c>
      <c r="D228">
        <f t="shared" si="4"/>
        <v>3.7320508075688776</v>
      </c>
    </row>
    <row r="229" spans="3:4">
      <c r="C229">
        <f>SUM($C$1:C228)*2+C228+1</f>
        <v>2.7314783469648416E+130</v>
      </c>
      <c r="D229">
        <f t="shared" si="4"/>
        <v>3.7320508075688772</v>
      </c>
    </row>
    <row r="230" spans="3:4">
      <c r="C230">
        <f>SUM($C$1:C229)*2+C229+1</f>
        <v>1.019401597064704E+131</v>
      </c>
      <c r="D230">
        <f t="shared" si="4"/>
        <v>3.7320508075688776</v>
      </c>
    </row>
    <row r="231" spans="3:4">
      <c r="C231">
        <f>SUM($C$1:C230)*2+C230+1</f>
        <v>3.8044585535623319E+131</v>
      </c>
      <c r="D231">
        <f t="shared" si="4"/>
        <v>3.7320508075688772</v>
      </c>
    </row>
    <row r="232" spans="3:4">
      <c r="C232">
        <f>SUM($C$1:C231)*2+C231+1</f>
        <v>1.4198432617184623E+132</v>
      </c>
      <c r="D232">
        <f t="shared" si="4"/>
        <v>3.7320508075688772</v>
      </c>
    </row>
    <row r="233" spans="3:4">
      <c r="C233">
        <f>SUM($C$1:C232)*2+C232+1</f>
        <v>5.2989271915176162E+132</v>
      </c>
      <c r="D233">
        <f t="shared" si="4"/>
        <v>3.7320508075688776</v>
      </c>
    </row>
    <row r="234" spans="3:4">
      <c r="C234">
        <f>SUM($C$1:C233)*2+C233+1</f>
        <v>1.9775865504352003E+133</v>
      </c>
      <c r="D234">
        <f t="shared" si="4"/>
        <v>3.7320508075688776</v>
      </c>
    </row>
    <row r="235" spans="3:4">
      <c r="C235">
        <f>SUM($C$1:C234)*2+C234+1</f>
        <v>7.3804534825890396E+133</v>
      </c>
      <c r="D235">
        <f t="shared" si="4"/>
        <v>3.7320508075688772</v>
      </c>
    </row>
    <row r="236" spans="3:4">
      <c r="C236">
        <f>SUM($C$1:C235)*2+C235+1</f>
        <v>2.7544227379920958E+134</v>
      </c>
      <c r="D236">
        <f t="shared" si="4"/>
        <v>3.7320508075688772</v>
      </c>
    </row>
    <row r="237" spans="3:4">
      <c r="C237">
        <f>SUM($C$1:C236)*2+C236+1</f>
        <v>1.0279645603709479E+135</v>
      </c>
      <c r="D237">
        <f t="shared" si="4"/>
        <v>3.7320508075688772</v>
      </c>
    </row>
    <row r="238" spans="3:4">
      <c r="C238">
        <f>SUM($C$1:C237)*2+C237+1</f>
        <v>3.8364159676845825E+135</v>
      </c>
      <c r="D238">
        <f t="shared" si="4"/>
        <v>3.7320508075688776</v>
      </c>
    </row>
    <row r="239" spans="3:4">
      <c r="C239">
        <f>SUM($C$1:C238)*2+C238+1</f>
        <v>1.4317699310367381E+136</v>
      </c>
      <c r="D239">
        <f t="shared" si="4"/>
        <v>3.7320508075688772</v>
      </c>
    </row>
    <row r="240" spans="3:4">
      <c r="C240">
        <f>SUM($C$1:C239)*2+C239+1</f>
        <v>5.3434381273784936E+136</v>
      </c>
      <c r="D240">
        <f t="shared" si="4"/>
        <v>3.7320508075688767</v>
      </c>
    </row>
    <row r="241" spans="3:4">
      <c r="C241">
        <f>SUM($C$1:C240)*2+C240+1</f>
        <v>1.9941982578477238E+137</v>
      </c>
      <c r="D241">
        <f t="shared" si="4"/>
        <v>3.7320508075688776</v>
      </c>
    </row>
    <row r="242" spans="3:4">
      <c r="C242">
        <f>SUM($C$1:C241)*2+C241+1</f>
        <v>7.4424492186530454E+137</v>
      </c>
      <c r="D242">
        <f t="shared" si="4"/>
        <v>3.7320508075688772</v>
      </c>
    </row>
    <row r="243" spans="3:4">
      <c r="C243">
        <f>SUM($C$1:C242)*2+C242+1</f>
        <v>2.7775598616764459E+138</v>
      </c>
      <c r="D243">
        <f t="shared" si="4"/>
        <v>3.7320508075688776</v>
      </c>
    </row>
    <row r="244" spans="3:4">
      <c r="C244">
        <f>SUM($C$1:C243)*2+C243+1</f>
        <v>1.0365994524840478E+139</v>
      </c>
      <c r="D244">
        <f t="shared" si="4"/>
        <v>3.7320508075688772</v>
      </c>
    </row>
    <row r="245" spans="3:4">
      <c r="C245">
        <f>SUM($C$1:C244)*2+C244+1</f>
        <v>3.8686418237685464E+139</v>
      </c>
      <c r="D245">
        <f t="shared" si="4"/>
        <v>3.7320508075688767</v>
      </c>
    </row>
    <row r="246" spans="3:4">
      <c r="C246">
        <f>SUM($C$1:C245)*2+C245+1</f>
        <v>1.4437967842590138E+140</v>
      </c>
      <c r="D246">
        <f t="shared" si="4"/>
        <v>3.7320508075688772</v>
      </c>
    </row>
    <row r="247" spans="3:4">
      <c r="C247">
        <f>SUM($C$1:C246)*2+C246+1</f>
        <v>5.3883229546592009E+140</v>
      </c>
      <c r="D247">
        <f t="shared" si="4"/>
        <v>3.7320508075688776</v>
      </c>
    </row>
    <row r="248" spans="3:4">
      <c r="C248">
        <f>SUM($C$1:C247)*2+C247+1</f>
        <v>2.010949503437779E+141</v>
      </c>
      <c r="D248">
        <f t="shared" si="4"/>
        <v>3.7320508075688772</v>
      </c>
    </row>
    <row r="249" spans="3:4">
      <c r="C249">
        <f>SUM($C$1:C248)*2+C248+1</f>
        <v>7.5049657182851954E+141</v>
      </c>
      <c r="D249">
        <f t="shared" si="4"/>
        <v>3.7320508075688772</v>
      </c>
    </row>
    <row r="250" spans="3:4">
      <c r="C250">
        <f>SUM($C$1:C249)*2+C249+1</f>
        <v>2.8008913369703003E+142</v>
      </c>
      <c r="D250">
        <f t="shared" si="4"/>
        <v>3.7320508075688772</v>
      </c>
    </row>
    <row r="251" spans="3:4">
      <c r="C251">
        <f>SUM($C$1:C250)*2+C250+1</f>
        <v>1.0453068776052681E+143</v>
      </c>
      <c r="D251">
        <f t="shared" si="4"/>
        <v>3.7320508075688772</v>
      </c>
    </row>
    <row r="252" spans="3:4">
      <c r="C252">
        <f>SUM($C$1:C251)*2+C251+1</f>
        <v>3.9011383767240426E+143</v>
      </c>
      <c r="D252">
        <f t="shared" si="4"/>
        <v>3.7320508075688772</v>
      </c>
    </row>
    <row r="253" spans="3:4">
      <c r="C253">
        <f>SUM($C$1:C252)*2+C252+1</f>
        <v>1.4559246629290901E+144</v>
      </c>
      <c r="D253">
        <f t="shared" si="4"/>
        <v>3.7320508075688767</v>
      </c>
    </row>
    <row r="254" spans="3:4">
      <c r="C254">
        <f>SUM($C$1:C253)*2+C253+1</f>
        <v>5.4335848140439564E+144</v>
      </c>
      <c r="D254">
        <f t="shared" si="4"/>
        <v>3.7320508075688776</v>
      </c>
    </row>
    <row r="255" spans="3:4">
      <c r="C255">
        <f>SUM($C$1:C254)*2+C254+1</f>
        <v>2.0278414593246736E+145</v>
      </c>
      <c r="D255">
        <f t="shared" si="4"/>
        <v>3.7320508075688776</v>
      </c>
    </row>
    <row r="256" spans="3:4">
      <c r="C256">
        <f>SUM($C$1:C255)*2+C255+1</f>
        <v>7.5680073558942996E+145</v>
      </c>
      <c r="D256">
        <f t="shared" si="4"/>
        <v>3.7320508075688776</v>
      </c>
    </row>
    <row r="257" spans="3:4">
      <c r="C257">
        <f>SUM($C$1:C256)*2+C256+1</f>
        <v>2.8244187964252524E+146</v>
      </c>
      <c r="D257">
        <f t="shared" si="4"/>
        <v>3.7320508075688772</v>
      </c>
    </row>
    <row r="258" spans="3:4">
      <c r="C258">
        <f>SUM($C$1:C257)*2+C257+1</f>
        <v>1.0540874450111581E+147</v>
      </c>
      <c r="D258">
        <f t="shared" si="4"/>
        <v>3.7320508075688776</v>
      </c>
    </row>
    <row r="259" spans="3:4">
      <c r="C259">
        <f>SUM($C$1:C258)*2+C258+1</f>
        <v>3.933907900402107E+147</v>
      </c>
      <c r="D259">
        <f t="shared" ref="D259:D322" si="5">C259/C258</f>
        <v>3.7320508075688772</v>
      </c>
    </row>
    <row r="260" spans="3:4">
      <c r="C260">
        <f>SUM($C$1:C259)*2+C259+1</f>
        <v>1.4681544156597269E+148</v>
      </c>
      <c r="D260">
        <f t="shared" si="5"/>
        <v>3.7320508075688772</v>
      </c>
    </row>
    <row r="261" spans="3:4">
      <c r="C261">
        <f>SUM($C$1:C260)*2+C260+1</f>
        <v>5.4792268725986975E+148</v>
      </c>
      <c r="D261">
        <f t="shared" si="5"/>
        <v>3.7320508075688776</v>
      </c>
    </row>
    <row r="262" spans="3:4">
      <c r="C262">
        <f>SUM($C$1:C261)*2+C261+1</f>
        <v>2.0448753074735064E+149</v>
      </c>
      <c r="D262">
        <f t="shared" si="5"/>
        <v>3.7320508075688776</v>
      </c>
    </row>
    <row r="263" spans="3:4">
      <c r="C263">
        <f>SUM($C$1:C262)*2+C262+1</f>
        <v>7.6315785426341553E+149</v>
      </c>
      <c r="D263">
        <f t="shared" si="5"/>
        <v>3.7320508075688772</v>
      </c>
    </row>
    <row r="264" spans="3:4">
      <c r="C264">
        <f>SUM($C$1:C263)*2+C263+1</f>
        <v>2.8481438863063114E+150</v>
      </c>
      <c r="D264">
        <f t="shared" si="5"/>
        <v>3.7320508075688772</v>
      </c>
    </row>
    <row r="265" spans="3:4">
      <c r="C265">
        <f>SUM($C$1:C264)*2+C264+1</f>
        <v>1.0629417690961831E+151</v>
      </c>
      <c r="D265">
        <f t="shared" si="5"/>
        <v>3.7320508075688776</v>
      </c>
    </row>
    <row r="266" spans="3:4">
      <c r="C266">
        <f>SUM($C$1:C265)*2+C265+1</f>
        <v>3.9669526877541009E+151</v>
      </c>
      <c r="D266">
        <f t="shared" si="5"/>
        <v>3.7320508075688772</v>
      </c>
    </row>
    <row r="267" spans="3:4">
      <c r="C267">
        <f>SUM($C$1:C266)*2+C266+1</f>
        <v>1.480486898192022E+152</v>
      </c>
      <c r="D267">
        <f t="shared" si="5"/>
        <v>3.7320508075688772</v>
      </c>
    </row>
    <row r="268" spans="3:4">
      <c r="C268">
        <f>SUM($C$1:C267)*2+C267+1</f>
        <v>5.5252523239926781E+152</v>
      </c>
      <c r="D268">
        <f t="shared" si="5"/>
        <v>3.7320508075688772</v>
      </c>
    </row>
    <row r="269" spans="3:4">
      <c r="C269">
        <f>SUM($C$1:C268)*2+C268+1</f>
        <v>2.062052239777869E+153</v>
      </c>
      <c r="D269">
        <f t="shared" si="5"/>
        <v>3.7320508075688772</v>
      </c>
    </row>
    <row r="270" spans="3:4">
      <c r="C270">
        <f>SUM($C$1:C269)*2+C269+1</f>
        <v>7.6956837267122087E+153</v>
      </c>
      <c r="D270">
        <f t="shared" si="5"/>
        <v>3.7320508075688776</v>
      </c>
    </row>
    <row r="271" spans="3:4">
      <c r="C271">
        <f>SUM($C$1:C270)*2+C270+1</f>
        <v>2.8720682667070964E+154</v>
      </c>
      <c r="D271">
        <f t="shared" si="5"/>
        <v>3.7320508075688772</v>
      </c>
    </row>
    <row r="272" spans="3:4">
      <c r="C272">
        <f>SUM($C$1:C271)*2+C271+1</f>
        <v>1.0718704694157165E+155</v>
      </c>
      <c r="D272">
        <f t="shared" si="5"/>
        <v>3.7320508075688772</v>
      </c>
    </row>
    <row r="273" spans="3:4">
      <c r="C273">
        <f>SUM($C$1:C272)*2+C272+1</f>
        <v>4.0002750509921559E+155</v>
      </c>
      <c r="D273">
        <f t="shared" si="5"/>
        <v>3.7320508075688767</v>
      </c>
    </row>
    <row r="274" spans="3:4">
      <c r="C274">
        <f>SUM($C$1:C273)*2+C273+1</f>
        <v>1.4929229734552906E+156</v>
      </c>
      <c r="D274">
        <f t="shared" si="5"/>
        <v>3.7320508075688772</v>
      </c>
    </row>
    <row r="275" spans="3:4">
      <c r="C275">
        <f>SUM($C$1:C274)*2+C274+1</f>
        <v>5.5716643887219474E+156</v>
      </c>
      <c r="D275">
        <f t="shared" si="5"/>
        <v>3.7320508075688776</v>
      </c>
    </row>
    <row r="276" spans="3:4">
      <c r="C276">
        <f>SUM($C$1:C275)*2+C275+1</f>
        <v>2.0793734581432499E+157</v>
      </c>
      <c r="D276">
        <f t="shared" si="5"/>
        <v>3.7320508075688772</v>
      </c>
    </row>
    <row r="277" spans="3:4">
      <c r="C277">
        <f>SUM($C$1:C276)*2+C276+1</f>
        <v>7.760327393700805E+157</v>
      </c>
      <c r="D277">
        <f t="shared" si="5"/>
        <v>3.7320508075688772</v>
      </c>
    </row>
    <row r="278" spans="3:4">
      <c r="C278">
        <f>SUM($C$1:C277)*2+C277+1</f>
        <v>2.896193611665997E+158</v>
      </c>
      <c r="D278">
        <f t="shared" si="5"/>
        <v>3.7320508075688772</v>
      </c>
    </row>
    <row r="279" spans="3:4">
      <c r="C279">
        <f>SUM($C$1:C278)*2+C278+1</f>
        <v>1.0808741707293909E+159</v>
      </c>
      <c r="D279">
        <f t="shared" si="5"/>
        <v>3.7320508075688776</v>
      </c>
    </row>
    <row r="280" spans="3:4">
      <c r="C280">
        <f>SUM($C$1:C279)*2+C279+1</f>
        <v>4.033877321750964E+159</v>
      </c>
      <c r="D280">
        <f t="shared" si="5"/>
        <v>3.7320508075688776</v>
      </c>
    </row>
    <row r="281" spans="3:4">
      <c r="C281">
        <f>SUM($C$1:C280)*2+C280+1</f>
        <v>1.5054635116274464E+160</v>
      </c>
      <c r="D281">
        <f t="shared" si="5"/>
        <v>3.7320508075688772</v>
      </c>
    </row>
    <row r="282" spans="3:4">
      <c r="C282">
        <f>SUM($C$1:C281)*2+C281+1</f>
        <v>5.6184663143346886E+160</v>
      </c>
      <c r="D282">
        <f t="shared" si="5"/>
        <v>3.7320508075688767</v>
      </c>
    </row>
    <row r="283" spans="3:4">
      <c r="C283">
        <f>SUM($C$1:C282)*2+C282+1</f>
        <v>2.0968401745711307E+161</v>
      </c>
      <c r="D283">
        <f t="shared" si="5"/>
        <v>3.7320508075688772</v>
      </c>
    </row>
    <row r="284" spans="3:4">
      <c r="C284">
        <f>SUM($C$1:C283)*2+C283+1</f>
        <v>7.825514066851055E+161</v>
      </c>
      <c r="D284">
        <f t="shared" si="5"/>
        <v>3.7320508075688776</v>
      </c>
    </row>
    <row r="285" spans="3:4">
      <c r="C285">
        <f>SUM($C$1:C284)*2+C284+1</f>
        <v>2.9205216092833091E+162</v>
      </c>
      <c r="D285">
        <f t="shared" si="5"/>
        <v>3.7320508075688776</v>
      </c>
    </row>
    <row r="286" spans="3:4">
      <c r="C286">
        <f>SUM($C$1:C285)*2+C285+1</f>
        <v>1.0899535030448132E+163</v>
      </c>
      <c r="D286">
        <f t="shared" si="5"/>
        <v>3.7320508075688776</v>
      </c>
    </row>
    <row r="287" spans="3:4">
      <c r="C287">
        <f>SUM($C$1:C286)*2+C286+1</f>
        <v>4.0677618512509222E+163</v>
      </c>
      <c r="D287">
        <f t="shared" si="5"/>
        <v>3.7320508075688776</v>
      </c>
    </row>
    <row r="288" spans="3:4">
      <c r="C288">
        <f>SUM($C$1:C287)*2+C287+1</f>
        <v>1.5181093901958876E+164</v>
      </c>
      <c r="D288">
        <f t="shared" si="5"/>
        <v>3.7320508075688776</v>
      </c>
    </row>
    <row r="289" spans="3:4">
      <c r="C289">
        <f>SUM($C$1:C288)*2+C288+1</f>
        <v>5.6656613756584585E+164</v>
      </c>
      <c r="D289">
        <f t="shared" si="5"/>
        <v>3.7320508075688776</v>
      </c>
    </row>
    <row r="290" spans="3:4">
      <c r="C290">
        <f>SUM($C$1:C289)*2+C289+1</f>
        <v>2.1144536112437947E+165</v>
      </c>
      <c r="D290">
        <f t="shared" si="5"/>
        <v>3.7320508075688776</v>
      </c>
    </row>
    <row r="291" spans="3:4">
      <c r="C291">
        <f>SUM($C$1:C290)*2+C290+1</f>
        <v>7.8912483074093336E+165</v>
      </c>
      <c r="D291">
        <f t="shared" si="5"/>
        <v>3.7320508075688776</v>
      </c>
    </row>
    <row r="292" spans="3:4">
      <c r="C292">
        <f>SUM($C$1:C291)*2+C291+1</f>
        <v>2.9450539618393538E+166</v>
      </c>
      <c r="D292">
        <f t="shared" si="5"/>
        <v>3.7320508075688772</v>
      </c>
    </row>
    <row r="293" spans="3:4">
      <c r="C293">
        <f>SUM($C$1:C292)*2+C292+1</f>
        <v>1.0991091016616482E+167</v>
      </c>
      <c r="D293">
        <f t="shared" si="5"/>
        <v>3.7320508075688772</v>
      </c>
    </row>
    <row r="294" spans="3:4">
      <c r="C294">
        <f>SUM($C$1:C293)*2+C293+1</f>
        <v>4.1019310104626574E+167</v>
      </c>
      <c r="D294">
        <f t="shared" si="5"/>
        <v>3.7320508075688772</v>
      </c>
    </row>
    <row r="295" spans="3:4">
      <c r="C295">
        <f>SUM($C$1:C294)*2+C294+1</f>
        <v>1.5308614940188982E+168</v>
      </c>
      <c r="D295">
        <f t="shared" si="5"/>
        <v>3.7320508075688772</v>
      </c>
    </row>
    <row r="296" spans="3:4">
      <c r="C296">
        <f>SUM($C$1:C295)*2+C295+1</f>
        <v>5.7132528750293268E+168</v>
      </c>
      <c r="D296">
        <f t="shared" si="5"/>
        <v>3.7320508075688772</v>
      </c>
    </row>
    <row r="297" spans="3:4">
      <c r="C297">
        <f>SUM($C$1:C296)*2+C296+1</f>
        <v>2.1322150006098409E+169</v>
      </c>
      <c r="D297">
        <f t="shared" si="5"/>
        <v>3.7320508075688772</v>
      </c>
    </row>
    <row r="298" spans="3:4">
      <c r="C298">
        <f>SUM($C$1:C297)*2+C297+1</f>
        <v>7.9575347149364311E+169</v>
      </c>
      <c r="D298">
        <f t="shared" si="5"/>
        <v>3.7320508075688772</v>
      </c>
    </row>
    <row r="299" spans="3:4">
      <c r="C299">
        <f>SUM($C$1:C298)*2+C298+1</f>
        <v>2.9697923859135885E+170</v>
      </c>
      <c r="D299">
        <f t="shared" si="5"/>
        <v>3.7320508075688776</v>
      </c>
    </row>
    <row r="300" spans="3:4">
      <c r="C300">
        <f>SUM($C$1:C299)*2+C299+1</f>
        <v>1.108341607216071E+171</v>
      </c>
      <c r="D300">
        <f t="shared" si="5"/>
        <v>3.7320508075688772</v>
      </c>
    </row>
    <row r="301" spans="3:4">
      <c r="C301">
        <f>SUM($C$1:C300)*2+C300+1</f>
        <v>4.1363871902729256E+171</v>
      </c>
      <c r="D301">
        <f t="shared" si="5"/>
        <v>3.7320508075688776</v>
      </c>
    </row>
    <row r="302" spans="3:4">
      <c r="C302">
        <f>SUM($C$1:C301)*2+C301+1</f>
        <v>1.5437207153875631E+172</v>
      </c>
      <c r="D302">
        <f t="shared" si="5"/>
        <v>3.7320508075688772</v>
      </c>
    </row>
    <row r="303" spans="3:4">
      <c r="C303">
        <f>SUM($C$1:C302)*2+C302+1</f>
        <v>5.7612441425229595E+172</v>
      </c>
      <c r="D303">
        <f t="shared" si="5"/>
        <v>3.7320508075688772</v>
      </c>
    </row>
    <row r="304" spans="3:4">
      <c r="C304">
        <f>SUM($C$1:C303)*2+C303+1</f>
        <v>2.1501255854704275E+173</v>
      </c>
      <c r="D304">
        <f t="shared" si="5"/>
        <v>3.7320508075688772</v>
      </c>
    </row>
    <row r="305" spans="3:4">
      <c r="C305">
        <f>SUM($C$1:C304)*2+C304+1</f>
        <v>8.0243779276294147E+173</v>
      </c>
      <c r="D305">
        <f t="shared" si="5"/>
        <v>3.7320508075688776</v>
      </c>
    </row>
    <row r="306" spans="3:4">
      <c r="C306">
        <f>SUM($C$1:C305)*2+C305+1</f>
        <v>2.9947386125047229E+174</v>
      </c>
      <c r="D306">
        <f t="shared" si="5"/>
        <v>3.7320508075688772</v>
      </c>
    </row>
    <row r="307" spans="3:4">
      <c r="C307">
        <f>SUM($C$1:C306)*2+C306+1</f>
        <v>1.1176516657255951E+175</v>
      </c>
      <c r="D307">
        <f t="shared" si="5"/>
        <v>3.7320508075688776</v>
      </c>
    </row>
    <row r="308" spans="3:4">
      <c r="C308">
        <f>SUM($C$1:C307)*2+C307+1</f>
        <v>4.171132801651908E+175</v>
      </c>
      <c r="D308">
        <f t="shared" si="5"/>
        <v>3.7320508075688772</v>
      </c>
    </row>
    <row r="309" spans="3:4">
      <c r="C309">
        <f>SUM($C$1:C308)*2+C308+1</f>
        <v>1.5566879540882037E+176</v>
      </c>
      <c r="D309">
        <f t="shared" si="5"/>
        <v>3.7320508075688772</v>
      </c>
    </row>
    <row r="310" spans="3:4">
      <c r="C310">
        <f>SUM($C$1:C309)*2+C309+1</f>
        <v>5.8096385361876244E+176</v>
      </c>
      <c r="D310">
        <f t="shared" si="5"/>
        <v>3.7320508075688776</v>
      </c>
    </row>
    <row r="311" spans="3:4">
      <c r="C311">
        <f>SUM($C$1:C310)*2+C310+1</f>
        <v>2.1681866190662293E+177</v>
      </c>
      <c r="D311">
        <f t="shared" si="5"/>
        <v>3.7320508075688772</v>
      </c>
    </row>
    <row r="312" spans="3:4">
      <c r="C312">
        <f>SUM($C$1:C311)*2+C311+1</f>
        <v>8.091782622646155E+177</v>
      </c>
      <c r="D312">
        <f t="shared" si="5"/>
        <v>3.7320508075688772</v>
      </c>
    </row>
    <row r="313" spans="3:4">
      <c r="C313">
        <f>SUM($C$1:C312)*2+C312+1</f>
        <v>3.0198943871518391E+178</v>
      </c>
      <c r="D313">
        <f t="shared" si="5"/>
        <v>3.7320508075688772</v>
      </c>
    </row>
    <row r="314" spans="3:4">
      <c r="C314">
        <f>SUM($C$1:C313)*2+C313+1</f>
        <v>1.1270399286342741E+179</v>
      </c>
      <c r="D314">
        <f t="shared" si="5"/>
        <v>3.7320508075688772</v>
      </c>
    </row>
    <row r="315" spans="3:4">
      <c r="C315">
        <f>SUM($C$1:C314)*2+C314+1</f>
        <v>4.2061702758219126E+179</v>
      </c>
      <c r="D315">
        <f t="shared" si="5"/>
        <v>3.7320508075688772</v>
      </c>
    </row>
    <row r="316" spans="3:4">
      <c r="C316">
        <f>SUM($C$1:C315)*2+C315+1</f>
        <v>1.5697641174653376E+180</v>
      </c>
      <c r="D316">
        <f t="shared" si="5"/>
        <v>3.7320508075688772</v>
      </c>
    </row>
    <row r="317" spans="3:4">
      <c r="C317">
        <f>SUM($C$1:C316)*2+C316+1</f>
        <v>5.8584394422791595E+180</v>
      </c>
      <c r="D317">
        <f t="shared" si="5"/>
        <v>3.7320508075688776</v>
      </c>
    </row>
    <row r="318" spans="3:4">
      <c r="C318">
        <f>SUM($C$1:C317)*2+C317+1</f>
        <v>2.18639936516513E+181</v>
      </c>
      <c r="D318">
        <f t="shared" si="5"/>
        <v>3.7320508075688772</v>
      </c>
    </row>
    <row r="319" spans="3:4">
      <c r="C319">
        <f>SUM($C$1:C318)*2+C318+1</f>
        <v>8.1597535164326033E+181</v>
      </c>
      <c r="D319">
        <f t="shared" si="5"/>
        <v>3.7320508075688767</v>
      </c>
    </row>
    <row r="320" spans="3:4">
      <c r="C320">
        <f>SUM($C$1:C319)*2+C319+1</f>
        <v>3.0452614700565285E+182</v>
      </c>
      <c r="D320">
        <f t="shared" si="5"/>
        <v>3.7320508075688776</v>
      </c>
    </row>
    <row r="321" spans="3:4">
      <c r="C321">
        <f>SUM($C$1:C320)*2+C320+1</f>
        <v>1.1365070528582853E+183</v>
      </c>
      <c r="D321">
        <f t="shared" si="5"/>
        <v>3.7320508075688772</v>
      </c>
    </row>
    <row r="322" spans="3:4">
      <c r="C322">
        <f>SUM($C$1:C321)*2+C321+1</f>
        <v>4.2415020644274881E+183</v>
      </c>
      <c r="D322">
        <f t="shared" si="5"/>
        <v>3.7320508075688772</v>
      </c>
    </row>
    <row r="323" spans="3:4">
      <c r="C323">
        <f>SUM($C$1:C322)*2+C322+1</f>
        <v>1.5829501204851668E+184</v>
      </c>
      <c r="D323">
        <f t="shared" ref="D323:D386" si="6">C323/C322</f>
        <v>3.7320508075688776</v>
      </c>
    </row>
    <row r="324" spans="3:4">
      <c r="C324">
        <f>SUM($C$1:C323)*2+C323+1</f>
        <v>5.9076502754979178E+184</v>
      </c>
      <c r="D324">
        <f t="shared" si="6"/>
        <v>3.7320508075688767</v>
      </c>
    </row>
    <row r="325" spans="3:4">
      <c r="C325">
        <f>SUM($C$1:C324)*2+C324+1</f>
        <v>2.2047650981506503E+185</v>
      </c>
      <c r="D325">
        <f t="shared" si="6"/>
        <v>3.7320508075688772</v>
      </c>
    </row>
    <row r="326" spans="3:4">
      <c r="C326">
        <f>SUM($C$1:C325)*2+C325+1</f>
        <v>8.2282953650528101E+185</v>
      </c>
      <c r="D326">
        <f t="shared" si="6"/>
        <v>3.7320508075688776</v>
      </c>
    </row>
    <row r="327" spans="3:4">
      <c r="C327">
        <f>SUM($C$1:C326)*2+C326+1</f>
        <v>3.0708416362060586E+186</v>
      </c>
      <c r="D327">
        <f t="shared" si="6"/>
        <v>3.7320508075688767</v>
      </c>
    </row>
    <row r="328" spans="3:4">
      <c r="C328">
        <f>SUM($C$1:C327)*2+C327+1</f>
        <v>1.1460537008318953E+187</v>
      </c>
      <c r="D328">
        <f t="shared" si="6"/>
        <v>3.7320508075688772</v>
      </c>
    </row>
    <row r="329" spans="3:4">
      <c r="C329">
        <f>SUM($C$1:C328)*2+C328+1</f>
        <v>4.2771306397069755E+187</v>
      </c>
      <c r="D329">
        <f t="shared" si="6"/>
        <v>3.7320508075688776</v>
      </c>
    </row>
    <row r="330" spans="3:4">
      <c r="C330">
        <f>SUM($C$1:C329)*2+C329+1</f>
        <v>1.5962468857996007E+188</v>
      </c>
      <c r="D330">
        <f t="shared" si="6"/>
        <v>3.7320508075688772</v>
      </c>
    </row>
    <row r="331" spans="3:4">
      <c r="C331">
        <f>SUM($C$1:C330)*2+C330+1</f>
        <v>5.957274479227705E+188</v>
      </c>
      <c r="D331">
        <f t="shared" si="6"/>
        <v>3.7320508075688772</v>
      </c>
    </row>
    <row r="332" spans="3:4">
      <c r="C332">
        <f>SUM($C$1:C331)*2+C331+1</f>
        <v>2.2232851031111219E+189</v>
      </c>
      <c r="D332">
        <f t="shared" si="6"/>
        <v>3.7320508075688772</v>
      </c>
    </row>
    <row r="333" spans="3:4">
      <c r="C333">
        <f>SUM($C$1:C332)*2+C332+1</f>
        <v>8.2974129645217179E+189</v>
      </c>
      <c r="D333">
        <f t="shared" si="6"/>
        <v>3.7320508075688776</v>
      </c>
    </row>
    <row r="334" spans="3:4">
      <c r="C334">
        <f>SUM($C$1:C333)*2+C333+1</f>
        <v>3.0966366754975751E+190</v>
      </c>
      <c r="D334">
        <f t="shared" si="6"/>
        <v>3.7320508075688776</v>
      </c>
    </row>
    <row r="335" spans="3:4">
      <c r="C335">
        <f>SUM($C$1:C334)*2+C334+1</f>
        <v>1.1556805405538129E+191</v>
      </c>
      <c r="D335">
        <f t="shared" si="6"/>
        <v>3.7320508075688776</v>
      </c>
    </row>
    <row r="336" spans="3:4">
      <c r="C336">
        <f>SUM($C$1:C335)*2+C335+1</f>
        <v>4.3130584946654946E+191</v>
      </c>
      <c r="D336">
        <f t="shared" si="6"/>
        <v>3.7320508075688776</v>
      </c>
    </row>
    <row r="337" spans="3:4">
      <c r="C337">
        <f>SUM($C$1:C336)*2+C336+1</f>
        <v>1.6096553438108165E+192</v>
      </c>
      <c r="D337">
        <f t="shared" si="6"/>
        <v>3.7320508075688772</v>
      </c>
    </row>
    <row r="338" spans="3:4">
      <c r="C338">
        <f>SUM($C$1:C337)*2+C337+1</f>
        <v>6.0073155257767164E+192</v>
      </c>
      <c r="D338">
        <f t="shared" si="6"/>
        <v>3.7320508075688772</v>
      </c>
    </row>
    <row r="339" spans="3:4">
      <c r="C339">
        <f>SUM($C$1:C338)*2+C338+1</f>
        <v>2.2419606759296048E+193</v>
      </c>
      <c r="D339">
        <f t="shared" si="6"/>
        <v>3.7320508075688772</v>
      </c>
    </row>
    <row r="340" spans="3:4">
      <c r="C340">
        <f>SUM($C$1:C339)*2+C339+1</f>
        <v>8.3671111511407465E+193</v>
      </c>
      <c r="D340">
        <f t="shared" si="6"/>
        <v>3.7320508075688767</v>
      </c>
    </row>
    <row r="341" spans="3:4">
      <c r="C341">
        <f>SUM($C$1:C340)*2+C340+1</f>
        <v>3.1226483928633379E+194</v>
      </c>
      <c r="D341">
        <f t="shared" si="6"/>
        <v>3.7320508075688767</v>
      </c>
    </row>
    <row r="342" spans="3:4">
      <c r="C342">
        <f>SUM($C$1:C341)*2+C341+1</f>
        <v>1.1653882456339277E+195</v>
      </c>
      <c r="D342">
        <f t="shared" si="6"/>
        <v>3.7320508075688772</v>
      </c>
    </row>
    <row r="343" spans="3:4">
      <c r="C343">
        <f>SUM($C$1:C342)*2+C342+1</f>
        <v>4.3492881432493772E+195</v>
      </c>
      <c r="D343">
        <f t="shared" si="6"/>
        <v>3.7320508075688772</v>
      </c>
    </row>
    <row r="344" spans="3:4">
      <c r="C344">
        <f>SUM($C$1:C343)*2+C343+1</f>
        <v>1.6231764327363582E+196</v>
      </c>
      <c r="D344">
        <f t="shared" si="6"/>
        <v>3.7320508075688776</v>
      </c>
    </row>
    <row r="345" spans="3:4">
      <c r="C345">
        <f>SUM($C$1:C344)*2+C344+1</f>
        <v>6.0577769166204948E+196</v>
      </c>
      <c r="D345">
        <f t="shared" si="6"/>
        <v>3.7320508075688772</v>
      </c>
    </row>
    <row r="346" spans="3:4">
      <c r="C346">
        <f>SUM($C$1:C345)*2+C345+1</f>
        <v>2.2607931233745618E+197</v>
      </c>
      <c r="D346">
        <f t="shared" si="6"/>
        <v>3.7320508075688767</v>
      </c>
    </row>
    <row r="347" spans="3:4">
      <c r="C347">
        <f>SUM($C$1:C346)*2+C346+1</f>
        <v>8.4373948018361972E+197</v>
      </c>
      <c r="D347">
        <f t="shared" si="6"/>
        <v>3.7320508075688772</v>
      </c>
    </row>
    <row r="348" spans="3:4">
      <c r="C348">
        <f>SUM($C$1:C347)*2+C347+1</f>
        <v>3.1488786083970227E+198</v>
      </c>
      <c r="D348">
        <f t="shared" si="6"/>
        <v>3.7320508075688772</v>
      </c>
    </row>
    <row r="349" spans="3:4">
      <c r="C349">
        <f>SUM($C$1:C348)*2+C348+1</f>
        <v>1.1751774953404471E+199</v>
      </c>
      <c r="D349">
        <f t="shared" si="6"/>
        <v>3.7320508075688772</v>
      </c>
    </row>
    <row r="350" spans="3:4">
      <c r="C350">
        <f>SUM($C$1:C349)*2+C349+1</f>
        <v>4.3858221205220862E+199</v>
      </c>
      <c r="D350">
        <f t="shared" si="6"/>
        <v>3.7320508075688772</v>
      </c>
    </row>
    <row r="351" spans="3:4">
      <c r="C351">
        <f>SUM($C$1:C350)*2+C350+1</f>
        <v>1.6368110986747899E+200</v>
      </c>
      <c r="D351">
        <f t="shared" si="6"/>
        <v>3.7320508075688776</v>
      </c>
    </row>
    <row r="352" spans="3:4">
      <c r="C352">
        <f>SUM($C$1:C351)*2+C351+1</f>
        <v>6.1086621826469506E+200</v>
      </c>
      <c r="D352">
        <f t="shared" si="6"/>
        <v>3.7320508075688772</v>
      </c>
    </row>
    <row r="353" spans="3:4">
      <c r="C353">
        <f>SUM($C$1:C352)*2+C352+1</f>
        <v>2.2797837631913013E+201</v>
      </c>
      <c r="D353">
        <f t="shared" si="6"/>
        <v>3.7320508075688772</v>
      </c>
    </row>
    <row r="354" spans="3:4">
      <c r="C354">
        <f>SUM($C$1:C353)*2+C353+1</f>
        <v>8.5082688345005102E+201</v>
      </c>
      <c r="D354">
        <f t="shared" si="6"/>
        <v>3.7320508075688772</v>
      </c>
    </row>
    <row r="355" spans="3:4">
      <c r="C355">
        <f>SUM($C$1:C354)*2+C354+1</f>
        <v>3.175329157481074E+202</v>
      </c>
      <c r="D355">
        <f t="shared" si="6"/>
        <v>3.7320508075688776</v>
      </c>
    </row>
    <row r="356" spans="3:4">
      <c r="C356">
        <f>SUM($C$1:C355)*2+C355+1</f>
        <v>1.1850489746474245E+203</v>
      </c>
      <c r="D356">
        <f t="shared" si="6"/>
        <v>3.7320508075688772</v>
      </c>
    </row>
    <row r="357" spans="3:4">
      <c r="C357">
        <f>SUM($C$1:C356)*2+C356+1</f>
        <v>4.4226629828415909E+203</v>
      </c>
      <c r="D357">
        <f t="shared" si="6"/>
        <v>3.7320508075688776</v>
      </c>
    </row>
    <row r="358" spans="3:4">
      <c r="C358">
        <f>SUM($C$1:C357)*2+C357+1</f>
        <v>1.650560295671894E+204</v>
      </c>
      <c r="D358">
        <f t="shared" si="6"/>
        <v>3.7320508075688776</v>
      </c>
    </row>
    <row r="359" spans="3:4">
      <c r="C359">
        <f>SUM($C$1:C358)*2+C358+1</f>
        <v>6.1599748844034168E+204</v>
      </c>
      <c r="D359">
        <f t="shared" si="6"/>
        <v>3.7320508075688772</v>
      </c>
    </row>
    <row r="360" spans="3:4">
      <c r="C360">
        <f>SUM($C$1:C359)*2+C359+1</f>
        <v>2.2989339241941773E+205</v>
      </c>
      <c r="D360">
        <f t="shared" si="6"/>
        <v>3.7320508075688772</v>
      </c>
    </row>
    <row r="361" spans="3:4">
      <c r="C361">
        <f>SUM($C$1:C360)*2+C360+1</f>
        <v>8.5797382083363684E+205</v>
      </c>
      <c r="D361">
        <f t="shared" si="6"/>
        <v>3.7320508075688776</v>
      </c>
    </row>
    <row r="362" spans="3:4">
      <c r="C362">
        <f>SUM($C$1:C361)*2+C361+1</f>
        <v>3.2020018909151295E+206</v>
      </c>
      <c r="D362">
        <f t="shared" si="6"/>
        <v>3.7320508075688772</v>
      </c>
    </row>
    <row r="363" spans="3:4">
      <c r="C363">
        <f>SUM($C$1:C362)*2+C362+1</f>
        <v>1.1950033742826882E+207</v>
      </c>
      <c r="D363">
        <f t="shared" si="6"/>
        <v>3.7320508075688772</v>
      </c>
    </row>
    <row r="364" spans="3:4">
      <c r="C364">
        <f>SUM($C$1:C363)*2+C363+1</f>
        <v>4.4598133080392398E+207</v>
      </c>
      <c r="D364">
        <f t="shared" si="6"/>
        <v>3.7320508075688776</v>
      </c>
    </row>
    <row r="365" spans="3:4">
      <c r="C365">
        <f>SUM($C$1:C364)*2+C364+1</f>
        <v>1.6644249857874271E+208</v>
      </c>
      <c r="D365">
        <f t="shared" si="6"/>
        <v>3.7320508075688772</v>
      </c>
    </row>
    <row r="366" spans="3:4">
      <c r="C366">
        <f>SUM($C$1:C365)*2+C365+1</f>
        <v>6.2117186123457833E+208</v>
      </c>
      <c r="D366">
        <f t="shared" si="6"/>
        <v>3.7320508075688767</v>
      </c>
    </row>
    <row r="367" spans="3:4">
      <c r="C367">
        <f>SUM($C$1:C366)*2+C366+1</f>
        <v>2.3182449463595705E+209</v>
      </c>
      <c r="D367">
        <f t="shared" si="6"/>
        <v>3.7320508075688772</v>
      </c>
    </row>
    <row r="368" spans="3:4">
      <c r="C368">
        <f>SUM($C$1:C367)*2+C367+1</f>
        <v>8.6518079242037036E+209</v>
      </c>
      <c r="D368">
        <f t="shared" si="6"/>
        <v>3.7320508075688772</v>
      </c>
    </row>
    <row r="369" spans="3:4">
      <c r="C369">
        <f>SUM($C$1:C368)*2+C368+1</f>
        <v>3.2288986750455248E+210</v>
      </c>
      <c r="D369">
        <f t="shared" si="6"/>
        <v>3.7320508075688776</v>
      </c>
    </row>
    <row r="370" spans="3:4">
      <c r="C370">
        <f>SUM($C$1:C369)*2+C369+1</f>
        <v>1.205041390776173E+211</v>
      </c>
      <c r="D370">
        <f t="shared" si="6"/>
        <v>3.7320508075688776</v>
      </c>
    </row>
    <row r="371" spans="3:4">
      <c r="C371">
        <f>SUM($C$1:C370)*2+C370+1</f>
        <v>4.497275695600139E+211</v>
      </c>
      <c r="D371">
        <f t="shared" si="6"/>
        <v>3.7320508075688767</v>
      </c>
    </row>
    <row r="372" spans="3:4">
      <c r="C372">
        <f>SUM($C$1:C371)*2+C371+1</f>
        <v>1.6784061391624383E+212</v>
      </c>
      <c r="D372">
        <f t="shared" si="6"/>
        <v>3.7320508075688772</v>
      </c>
    </row>
    <row r="373" spans="3:4">
      <c r="C373">
        <f>SUM($C$1:C372)*2+C372+1</f>
        <v>6.2638969870897395E+212</v>
      </c>
      <c r="D373">
        <f t="shared" si="6"/>
        <v>3.7320508075688772</v>
      </c>
    </row>
    <row r="374" spans="3:4">
      <c r="C374">
        <f>SUM($C$1:C373)*2+C373+1</f>
        <v>2.3377181809196519E+213</v>
      </c>
      <c r="D374">
        <f t="shared" si="6"/>
        <v>3.7320508075688772</v>
      </c>
    </row>
    <row r="375" spans="3:4">
      <c r="C375">
        <f>SUM($C$1:C374)*2+C374+1</f>
        <v>8.724483024969634E+213</v>
      </c>
      <c r="D375">
        <f t="shared" si="6"/>
        <v>3.7320508075688772</v>
      </c>
    </row>
    <row r="376" spans="3:4">
      <c r="C376">
        <f>SUM($C$1:C375)*2+C375+1</f>
        <v>3.2560213918958882E+214</v>
      </c>
      <c r="D376">
        <f t="shared" si="6"/>
        <v>3.7320508075688772</v>
      </c>
    </row>
    <row r="377" spans="3:4">
      <c r="C377">
        <f>SUM($C$1:C376)*2+C376+1</f>
        <v>1.215163726508659E+215</v>
      </c>
      <c r="D377">
        <f t="shared" si="6"/>
        <v>3.7320508075688776</v>
      </c>
    </row>
    <row r="378" spans="3:4">
      <c r="C378">
        <f>SUM($C$1:C377)*2+C377+1</f>
        <v>4.5350527668450475E+215</v>
      </c>
      <c r="D378">
        <f t="shared" si="6"/>
        <v>3.7320508075688776</v>
      </c>
    </row>
    <row r="379" spans="3:4">
      <c r="C379">
        <f>SUM($C$1:C378)*2+C378+1</f>
        <v>1.6925047340871531E+216</v>
      </c>
      <c r="D379">
        <f t="shared" si="6"/>
        <v>3.7320508075688772</v>
      </c>
    </row>
    <row r="380" spans="3:4">
      <c r="C380">
        <f>SUM($C$1:C379)*2+C379+1</f>
        <v>6.3165136596641084E+216</v>
      </c>
      <c r="D380">
        <f t="shared" si="6"/>
        <v>3.7320508075688776</v>
      </c>
    </row>
    <row r="381" spans="3:4">
      <c r="C381">
        <f>SUM($C$1:C380)*2+C380+1</f>
        <v>2.3573549904569281E+217</v>
      </c>
      <c r="D381">
        <f t="shared" si="6"/>
        <v>3.7320508075688776</v>
      </c>
    </row>
    <row r="382" spans="3:4">
      <c r="C382">
        <f>SUM($C$1:C381)*2+C381+1</f>
        <v>8.7977685958613011E+217</v>
      </c>
      <c r="D382">
        <f t="shared" si="6"/>
        <v>3.7320508075688772</v>
      </c>
    </row>
    <row r="383" spans="3:4">
      <c r="C383">
        <f>SUM($C$1:C382)*2+C382+1</f>
        <v>3.2833719392988276E+218</v>
      </c>
      <c r="D383">
        <f t="shared" si="6"/>
        <v>3.7320508075688772</v>
      </c>
    </row>
    <row r="384" spans="3:4">
      <c r="C384">
        <f>SUM($C$1:C383)*2+C383+1</f>
        <v>1.2253710897609181E+219</v>
      </c>
      <c r="D384">
        <f t="shared" si="6"/>
        <v>3.7320508075688776</v>
      </c>
    </row>
    <row r="385" spans="3:4">
      <c r="C385">
        <f>SUM($C$1:C384)*2+C384+1</f>
        <v>4.5731471651137891E+219</v>
      </c>
      <c r="D385">
        <f t="shared" si="6"/>
        <v>3.7320508075688767</v>
      </c>
    </row>
    <row r="386" spans="3:4">
      <c r="C386">
        <f>SUM($C$1:C385)*2+C385+1</f>
        <v>1.7067217570694238E+220</v>
      </c>
      <c r="D386">
        <f t="shared" si="6"/>
        <v>3.7320508075688772</v>
      </c>
    </row>
    <row r="387" spans="3:4">
      <c r="C387">
        <f>SUM($C$1:C386)*2+C386+1</f>
        <v>6.3695723117663164E+220</v>
      </c>
      <c r="D387">
        <f t="shared" ref="D387:D450" si="7">C387/C386</f>
        <v>3.7320508075688772</v>
      </c>
    </row>
    <row r="388" spans="3:4">
      <c r="C388">
        <f>SUM($C$1:C387)*2+C387+1</f>
        <v>2.3771567489995843E+221</v>
      </c>
      <c r="D388">
        <f t="shared" si="7"/>
        <v>3.7320508075688776</v>
      </c>
    </row>
    <row r="389" spans="3:4">
      <c r="C389">
        <f>SUM($C$1:C388)*2+C388+1</f>
        <v>8.8716697648217048E+221</v>
      </c>
      <c r="D389">
        <f t="shared" si="7"/>
        <v>3.7320508075688772</v>
      </c>
    </row>
    <row r="390" spans="3:4">
      <c r="C390">
        <f>SUM($C$1:C389)*2+C389+1</f>
        <v>3.3109522310287235E+222</v>
      </c>
      <c r="D390">
        <f t="shared" si="7"/>
        <v>3.7320508075688772</v>
      </c>
    </row>
    <row r="391" spans="3:4">
      <c r="C391">
        <f>SUM($C$1:C390)*2+C390+1</f>
        <v>1.2356641947632724E+223</v>
      </c>
      <c r="D391">
        <f t="shared" si="7"/>
        <v>3.7320508075688772</v>
      </c>
    </row>
    <row r="392" spans="3:4">
      <c r="C392">
        <f>SUM($C$1:C391)*2+C391+1</f>
        <v>4.6115615559502175E+223</v>
      </c>
      <c r="D392">
        <f t="shared" si="7"/>
        <v>3.7320508075688776</v>
      </c>
    </row>
    <row r="393" spans="3:4">
      <c r="C393">
        <f>SUM($C$1:C392)*2+C392+1</f>
        <v>1.7210582029037596E+224</v>
      </c>
      <c r="D393">
        <f t="shared" si="7"/>
        <v>3.7320508075688772</v>
      </c>
    </row>
    <row r="394" spans="3:4">
      <c r="C394">
        <f>SUM($C$1:C393)*2+C393+1</f>
        <v>6.4230766560200171E+224</v>
      </c>
      <c r="D394">
        <f t="shared" si="7"/>
        <v>3.7320508075688776</v>
      </c>
    </row>
    <row r="395" spans="3:4">
      <c r="C395">
        <f>SUM($C$1:C394)*2+C394+1</f>
        <v>2.3971248421176311E+225</v>
      </c>
      <c r="D395">
        <f t="shared" si="7"/>
        <v>3.7320508075688776</v>
      </c>
    </row>
    <row r="396" spans="3:4">
      <c r="C396">
        <f>SUM($C$1:C395)*2+C395+1</f>
        <v>8.9461917028685225E+225</v>
      </c>
      <c r="D396">
        <f t="shared" si="7"/>
        <v>3.7320508075688772</v>
      </c>
    </row>
    <row r="397" spans="3:4">
      <c r="C397">
        <f>SUM($C$1:C396)*2+C396+1</f>
        <v>3.3387641969356456E+226</v>
      </c>
      <c r="D397">
        <f t="shared" si="7"/>
        <v>3.7320508075688772</v>
      </c>
    </row>
    <row r="398" spans="3:4">
      <c r="C398">
        <f>SUM($C$1:C397)*2+C397+1</f>
        <v>1.246043761745573E+227</v>
      </c>
      <c r="D398">
        <f t="shared" si="7"/>
        <v>3.7320508075688772</v>
      </c>
    </row>
    <row r="399" spans="3:4">
      <c r="C399">
        <f>SUM($C$1:C398)*2+C398+1</f>
        <v>4.6502986272887274E+227</v>
      </c>
      <c r="D399">
        <f t="shared" si="7"/>
        <v>3.7320508075688772</v>
      </c>
    </row>
    <row r="400" spans="3:4">
      <c r="C400">
        <f>SUM($C$1:C399)*2+C399+1</f>
        <v>1.7355150747409337E+228</v>
      </c>
      <c r="D400">
        <f t="shared" si="7"/>
        <v>3.7320508075688776</v>
      </c>
    </row>
    <row r="401" spans="3:4">
      <c r="C401">
        <f>SUM($C$1:C400)*2+C400+1</f>
        <v>6.4770304362348622E+228</v>
      </c>
      <c r="D401">
        <f t="shared" si="7"/>
        <v>3.7320508075688772</v>
      </c>
    </row>
    <row r="402" spans="3:4">
      <c r="C402">
        <f>SUM($C$1:C401)*2+C401+1</f>
        <v>2.4172606670198514E+229</v>
      </c>
      <c r="D402">
        <f t="shared" si="7"/>
        <v>3.7320508075688772</v>
      </c>
    </row>
    <row r="403" spans="3:4">
      <c r="C403">
        <f>SUM($C$1:C402)*2+C402+1</f>
        <v>9.0213396244559206E+229</v>
      </c>
      <c r="D403">
        <f t="shared" si="7"/>
        <v>3.7320508075688776</v>
      </c>
    </row>
    <row r="404" spans="3:4">
      <c r="C404">
        <f>SUM($C$1:C403)*2+C403+1</f>
        <v>3.3668097830803828E+230</v>
      </c>
      <c r="D404">
        <f t="shared" si="7"/>
        <v>3.7320508075688772</v>
      </c>
    </row>
    <row r="405" spans="3:4">
      <c r="C405">
        <f>SUM($C$1:C404)*2+C404+1</f>
        <v>1.256510516987594E+231</v>
      </c>
      <c r="D405">
        <f t="shared" si="7"/>
        <v>3.7320508075688776</v>
      </c>
    </row>
    <row r="406" spans="3:4">
      <c r="C406">
        <f>SUM($C$1:C405)*2+C405+1</f>
        <v>4.6893610896423373E+231</v>
      </c>
      <c r="D406">
        <f t="shared" si="7"/>
        <v>3.7320508075688767</v>
      </c>
    </row>
    <row r="407" spans="3:4">
      <c r="C407">
        <f>SUM($C$1:C406)*2+C406+1</f>
        <v>1.7500933841581757E+232</v>
      </c>
      <c r="D407">
        <f t="shared" si="7"/>
        <v>3.7320508075688776</v>
      </c>
    </row>
    <row r="408" spans="3:4">
      <c r="C408">
        <f>SUM($C$1:C407)*2+C407+1</f>
        <v>6.5314374276684686E+232</v>
      </c>
      <c r="D408">
        <f t="shared" si="7"/>
        <v>3.7320508075688772</v>
      </c>
    </row>
    <row r="409" spans="3:4">
      <c r="C409">
        <f>SUM($C$1:C408)*2+C408+1</f>
        <v>2.4375656326515696E+233</v>
      </c>
      <c r="D409">
        <f t="shared" si="7"/>
        <v>3.7320508075688767</v>
      </c>
    </row>
    <row r="410" spans="3:4">
      <c r="C410">
        <f>SUM($C$1:C409)*2+C409+1</f>
        <v>9.0971187878394322E+233</v>
      </c>
      <c r="D410">
        <f t="shared" si="7"/>
        <v>3.7320508075688776</v>
      </c>
    </row>
    <row r="411" spans="3:4">
      <c r="C411">
        <f>SUM($C$1:C410)*2+C410+1</f>
        <v>3.3950909518706154E+234</v>
      </c>
      <c r="D411">
        <f t="shared" si="7"/>
        <v>3.7320508075688767</v>
      </c>
    </row>
    <row r="412" spans="3:4">
      <c r="C412">
        <f>SUM($C$1:C411)*2+C411+1</f>
        <v>1.2670651928698518E+235</v>
      </c>
      <c r="D412">
        <f t="shared" si="7"/>
        <v>3.7320508075688772</v>
      </c>
    </row>
    <row r="413" spans="3:4">
      <c r="C413">
        <f>SUM($C$1:C412)*2+C412+1</f>
        <v>4.7287516762923458E+235</v>
      </c>
      <c r="D413">
        <f t="shared" si="7"/>
        <v>3.7320508075688772</v>
      </c>
    </row>
    <row r="414" spans="3:4">
      <c r="C414">
        <f>SUM($C$1:C413)*2+C413+1</f>
        <v>1.7647941512299531E+236</v>
      </c>
      <c r="D414">
        <f t="shared" si="7"/>
        <v>3.7320508075688772</v>
      </c>
    </row>
    <row r="415" spans="3:4">
      <c r="C415">
        <f>SUM($C$1:C414)*2+C414+1</f>
        <v>6.5863014372905772E+236</v>
      </c>
      <c r="D415">
        <f t="shared" si="7"/>
        <v>3.7320508075688767</v>
      </c>
    </row>
    <row r="416" spans="3:4">
      <c r="C416">
        <f>SUM($C$1:C415)*2+C415+1</f>
        <v>2.4580411597932355E+237</v>
      </c>
      <c r="D416">
        <f t="shared" si="7"/>
        <v>3.7320508075688772</v>
      </c>
    </row>
    <row r="417" spans="3:4">
      <c r="C417">
        <f>SUM($C$1:C416)*2+C416+1</f>
        <v>9.1735344954438851E+237</v>
      </c>
      <c r="D417">
        <f t="shared" si="7"/>
        <v>3.7320508075688776</v>
      </c>
    </row>
    <row r="418" spans="3:4">
      <c r="C418">
        <f>SUM($C$1:C417)*2+C417+1</f>
        <v>3.4236096821982304E+238</v>
      </c>
      <c r="D418">
        <f t="shared" si="7"/>
        <v>3.7320508075688772</v>
      </c>
    </row>
    <row r="419" spans="3:4">
      <c r="C419">
        <f>SUM($C$1:C418)*2+C418+1</f>
        <v>1.2777085279248534E+239</v>
      </c>
      <c r="D419">
        <f t="shared" si="7"/>
        <v>3.7320508075688776</v>
      </c>
    </row>
    <row r="420" spans="3:4">
      <c r="C420">
        <f>SUM($C$1:C419)*2+C419+1</f>
        <v>4.7684731434795902E+239</v>
      </c>
      <c r="D420">
        <f t="shared" si="7"/>
        <v>3.7320508075688767</v>
      </c>
    </row>
    <row r="421" spans="3:4">
      <c r="C421">
        <f>SUM($C$1:C420)*2+C420+1</f>
        <v>1.7796184045993509E+240</v>
      </c>
      <c r="D421">
        <f t="shared" si="7"/>
        <v>3.7320508075688776</v>
      </c>
    </row>
    <row r="422" spans="3:4">
      <c r="C422">
        <f>SUM($C$1:C421)*2+C421+1</f>
        <v>6.6416263040494446E+240</v>
      </c>
      <c r="D422">
        <f t="shared" si="7"/>
        <v>3.7320508075688772</v>
      </c>
    </row>
    <row r="423" spans="3:4">
      <c r="C423">
        <f>SUM($C$1:C422)*2+C422+1</f>
        <v>2.4786886811598427E+241</v>
      </c>
      <c r="D423">
        <f t="shared" si="7"/>
        <v>3.7320508075688772</v>
      </c>
    </row>
    <row r="424" spans="3:4">
      <c r="C424">
        <f>SUM($C$1:C423)*2+C423+1</f>
        <v>9.2505920942344263E+241</v>
      </c>
      <c r="D424">
        <f t="shared" si="7"/>
        <v>3.7320508075688772</v>
      </c>
    </row>
    <row r="425" spans="3:4">
      <c r="C425">
        <f>SUM($C$1:C424)*2+C424+1</f>
        <v>3.4523679695777862E+242</v>
      </c>
      <c r="D425">
        <f t="shared" si="7"/>
        <v>3.7320508075688772</v>
      </c>
    </row>
    <row r="426" spans="3:4">
      <c r="C426">
        <f>SUM($C$1:C425)*2+C425+1</f>
        <v>1.2884412668887703E+243</v>
      </c>
      <c r="D426">
        <f t="shared" si="7"/>
        <v>3.7320508075688776</v>
      </c>
    </row>
    <row r="427" spans="3:4">
      <c r="C427">
        <f>SUM($C$1:C426)*2+C426+1</f>
        <v>4.8085282705973023E+243</v>
      </c>
      <c r="D427">
        <f t="shared" si="7"/>
        <v>3.7320508075688772</v>
      </c>
    </row>
    <row r="428" spans="3:4">
      <c r="C428">
        <f>SUM($C$1:C427)*2+C427+1</f>
        <v>1.7945671815500439E+244</v>
      </c>
      <c r="D428">
        <f t="shared" si="7"/>
        <v>3.7320508075688776</v>
      </c>
    </row>
    <row r="429" spans="3:4">
      <c r="C429">
        <f>SUM($C$1:C428)*2+C428+1</f>
        <v>6.6974158991404453E+244</v>
      </c>
      <c r="D429">
        <f t="shared" si="7"/>
        <v>3.7320508075688772</v>
      </c>
    </row>
    <row r="430" spans="3:4">
      <c r="C430">
        <f>SUM($C$1:C429)*2+C429+1</f>
        <v>2.4995096415011736E+245</v>
      </c>
      <c r="D430">
        <f t="shared" si="7"/>
        <v>3.7320508075688772</v>
      </c>
    </row>
    <row r="431" spans="3:4">
      <c r="C431">
        <f>SUM($C$1:C430)*2+C430+1</f>
        <v>9.3282969760906501E+245</v>
      </c>
      <c r="D431">
        <f t="shared" si="7"/>
        <v>3.7320508075688772</v>
      </c>
    </row>
    <row r="432" spans="3:4">
      <c r="C432">
        <f>SUM($C$1:C431)*2+C431+1</f>
        <v>3.4813678262861428E+246</v>
      </c>
      <c r="D432">
        <f t="shared" si="7"/>
        <v>3.7320508075688772</v>
      </c>
    </row>
    <row r="433" spans="3:4">
      <c r="C433">
        <f>SUM($C$1:C432)*2+C432+1</f>
        <v>1.2992641607535505E+247</v>
      </c>
      <c r="D433">
        <f t="shared" si="7"/>
        <v>3.7320508075688772</v>
      </c>
    </row>
    <row r="434" spans="3:4">
      <c r="C434">
        <f>SUM($C$1:C433)*2+C433+1</f>
        <v>4.8489198603855878E+247</v>
      </c>
      <c r="D434">
        <f t="shared" si="7"/>
        <v>3.7320508075688772</v>
      </c>
    </row>
    <row r="435" spans="3:4">
      <c r="C435">
        <f>SUM($C$1:C434)*2+C434+1</f>
        <v>1.8096415280788799E+248</v>
      </c>
      <c r="D435">
        <f t="shared" si="7"/>
        <v>3.7320508075688772</v>
      </c>
    </row>
    <row r="436" spans="3:4">
      <c r="C436">
        <f>SUM($C$1:C435)*2+C435+1</f>
        <v>6.7536741262769605E+248</v>
      </c>
      <c r="D436">
        <f t="shared" si="7"/>
        <v>3.7320508075688772</v>
      </c>
    </row>
    <row r="437" spans="3:4">
      <c r="C437">
        <f>SUM($C$1:C436)*2+C436+1</f>
        <v>2.5205054977028961E+249</v>
      </c>
      <c r="D437">
        <f t="shared" si="7"/>
        <v>3.7320508075688772</v>
      </c>
    </row>
    <row r="438" spans="3:4">
      <c r="C438">
        <f>SUM($C$1:C437)*2+C437+1</f>
        <v>9.4066545781838886E+249</v>
      </c>
      <c r="D438">
        <f t="shared" si="7"/>
        <v>3.7320508075688772</v>
      </c>
    </row>
    <row r="439" spans="3:4">
      <c r="C439">
        <f>SUM($C$1:C438)*2+C438+1</f>
        <v>3.5106112815032657E+250</v>
      </c>
      <c r="D439">
        <f t="shared" si="7"/>
        <v>3.7320508075688772</v>
      </c>
    </row>
    <row r="440" spans="3:4">
      <c r="C440">
        <f>SUM($C$1:C439)*2+C439+1</f>
        <v>1.3101779668194673E+251</v>
      </c>
      <c r="D440">
        <f t="shared" si="7"/>
        <v>3.7320508075688772</v>
      </c>
    </row>
    <row r="441" spans="3:4">
      <c r="C441">
        <f>SUM($C$1:C440)*2+C440+1</f>
        <v>4.8896507391275429E+251</v>
      </c>
      <c r="D441">
        <f t="shared" si="7"/>
        <v>3.7320508075688776</v>
      </c>
    </row>
    <row r="442" spans="3:4">
      <c r="C442">
        <f>SUM($C$1:C441)*2+C441+1</f>
        <v>1.8248424989690706E+252</v>
      </c>
      <c r="D442">
        <f t="shared" si="7"/>
        <v>3.7320508075688776</v>
      </c>
    </row>
    <row r="443" spans="3:4">
      <c r="C443">
        <f>SUM($C$1:C442)*2+C442+1</f>
        <v>6.8104049219635279E+252</v>
      </c>
      <c r="D443">
        <f t="shared" si="7"/>
        <v>3.7320508075688772</v>
      </c>
    </row>
    <row r="444" spans="3:4">
      <c r="C444">
        <f>SUM($C$1:C443)*2+C443+1</f>
        <v>2.5416777188885043E+253</v>
      </c>
      <c r="D444">
        <f t="shared" si="7"/>
        <v>3.7320508075688776</v>
      </c>
    </row>
    <row r="445" spans="3:4">
      <c r="C445">
        <f>SUM($C$1:C444)*2+C444+1</f>
        <v>9.4856703833576638E+253</v>
      </c>
      <c r="D445">
        <f t="shared" si="7"/>
        <v>3.7320508075688772</v>
      </c>
    </row>
    <row r="446" spans="3:4">
      <c r="C446">
        <f>SUM($C$1:C445)*2+C445+1</f>
        <v>3.5401003814542148E+254</v>
      </c>
      <c r="D446">
        <f t="shared" si="7"/>
        <v>3.7320508075688772</v>
      </c>
    </row>
    <row r="447" spans="3:4">
      <c r="C447">
        <f>SUM($C$1:C446)*2+C446+1</f>
        <v>1.3211834487481094E+255</v>
      </c>
      <c r="D447">
        <f t="shared" si="7"/>
        <v>3.7320508075688776</v>
      </c>
    </row>
    <row r="448" spans="3:4">
      <c r="C448">
        <f>SUM($C$1:C447)*2+C447+1</f>
        <v>4.9307237568470156E+255</v>
      </c>
      <c r="D448">
        <f t="shared" si="7"/>
        <v>3.7320508075688772</v>
      </c>
    </row>
    <row r="449" spans="3:4">
      <c r="C449">
        <f>SUM($C$1:C448)*2+C448+1</f>
        <v>1.8401711578639954E+256</v>
      </c>
      <c r="D449">
        <f t="shared" si="7"/>
        <v>3.7320508075688776</v>
      </c>
    </row>
    <row r="450" spans="3:4">
      <c r="C450">
        <f>SUM($C$1:C449)*2+C449+1</f>
        <v>6.8676122557712803E+256</v>
      </c>
      <c r="D450">
        <f t="shared" si="7"/>
        <v>3.7320508075688776</v>
      </c>
    </row>
    <row r="451" spans="3:4">
      <c r="C451">
        <f>SUM($C$1:C450)*2+C450+1</f>
        <v>2.5630277865221128E+257</v>
      </c>
      <c r="D451">
        <f t="shared" ref="D451:D514" si="8">C451/C450</f>
        <v>3.7320508075688776</v>
      </c>
    </row>
    <row r="452" spans="3:4">
      <c r="C452">
        <f>SUM($C$1:C451)*2+C451+1</f>
        <v>9.5653499205113228E+257</v>
      </c>
      <c r="D452">
        <f t="shared" si="8"/>
        <v>3.7320508075688772</v>
      </c>
    </row>
    <row r="453" spans="3:4">
      <c r="C453">
        <f>SUM($C$1:C452)*2+C452+1</f>
        <v>3.5698371895523178E+258</v>
      </c>
      <c r="D453">
        <f t="shared" si="8"/>
        <v>3.7320508075688772</v>
      </c>
    </row>
    <row r="454" spans="3:4">
      <c r="C454">
        <f>SUM($C$1:C453)*2+C453+1</f>
        <v>1.3322813766158141E+259</v>
      </c>
      <c r="D454">
        <f t="shared" si="8"/>
        <v>3.7320508075688776</v>
      </c>
    </row>
    <row r="455" spans="3:4">
      <c r="C455">
        <f>SUM($C$1:C454)*2+C454+1</f>
        <v>4.972141787508024E+259</v>
      </c>
      <c r="D455">
        <f t="shared" si="8"/>
        <v>3.7320508075688772</v>
      </c>
    </row>
    <row r="456" spans="3:4">
      <c r="C456">
        <f>SUM($C$1:C455)*2+C455+1</f>
        <v>1.8556285773416282E+260</v>
      </c>
      <c r="D456">
        <f t="shared" si="8"/>
        <v>3.7320508075688772</v>
      </c>
    </row>
    <row r="457" spans="3:4">
      <c r="C457">
        <f>SUM($C$1:C456)*2+C456+1</f>
        <v>6.9253001306157111E+260</v>
      </c>
      <c r="D457">
        <f t="shared" si="8"/>
        <v>3.7320508075688776</v>
      </c>
    </row>
    <row r="458" spans="3:4">
      <c r="C458">
        <f>SUM($C$1:C457)*2+C457+1</f>
        <v>2.5845571945121218E+261</v>
      </c>
      <c r="D458">
        <f t="shared" si="8"/>
        <v>3.7320508075688776</v>
      </c>
    </row>
    <row r="459" spans="3:4">
      <c r="C459">
        <f>SUM($C$1:C458)*2+C458+1</f>
        <v>9.6456987649869151E+261</v>
      </c>
      <c r="D459">
        <f t="shared" si="8"/>
        <v>3.7320508075688772</v>
      </c>
    </row>
    <row r="460" spans="3:4">
      <c r="C460">
        <f>SUM($C$1:C459)*2+C459+1</f>
        <v>3.5998237865435537E+262</v>
      </c>
      <c r="D460">
        <f t="shared" si="8"/>
        <v>3.7320508075688772</v>
      </c>
    </row>
    <row r="461" spans="3:4">
      <c r="C461">
        <f>SUM($C$1:C460)*2+C460+1</f>
        <v>1.3434725269675524E+263</v>
      </c>
      <c r="D461">
        <f t="shared" si="8"/>
        <v>3.7320508075688772</v>
      </c>
    </row>
    <row r="462" spans="3:4">
      <c r="C462">
        <f>SUM($C$1:C461)*2+C461+1</f>
        <v>5.0139077292158542E+263</v>
      </c>
      <c r="D462">
        <f t="shared" si="8"/>
        <v>3.7320508075688772</v>
      </c>
    </row>
    <row r="463" spans="3:4">
      <c r="C463">
        <f>SUM($C$1:C462)*2+C462+1</f>
        <v>1.8712158389895864E+264</v>
      </c>
      <c r="D463">
        <f t="shared" si="8"/>
        <v>3.7320508075688772</v>
      </c>
    </row>
    <row r="464" spans="3:4">
      <c r="C464">
        <f>SUM($C$1:C463)*2+C463+1</f>
        <v>6.9834725830367607E+264</v>
      </c>
      <c r="D464">
        <f t="shared" si="8"/>
        <v>3.7320508075688776</v>
      </c>
    </row>
    <row r="465" spans="3:4">
      <c r="C465">
        <f>SUM($C$1:C464)*2+C464+1</f>
        <v>2.6062674493157458E+265</v>
      </c>
      <c r="D465">
        <f t="shared" si="8"/>
        <v>3.7320508075688776</v>
      </c>
    </row>
    <row r="466" spans="3:4">
      <c r="C466">
        <f>SUM($C$1:C465)*2+C465+1</f>
        <v>9.7267225389593079E+265</v>
      </c>
      <c r="D466">
        <f t="shared" si="8"/>
        <v>3.7320508075688776</v>
      </c>
    </row>
    <row r="467" spans="3:4">
      <c r="C467">
        <f>SUM($C$1:C466)*2+C466+1</f>
        <v>3.6300622706521482E+266</v>
      </c>
      <c r="D467">
        <f t="shared" si="8"/>
        <v>3.7320508075688767</v>
      </c>
    </row>
    <row r="468" spans="3:4">
      <c r="C468">
        <f>SUM($C$1:C467)*2+C467+1</f>
        <v>1.3547576828712663E+267</v>
      </c>
      <c r="D468">
        <f t="shared" si="8"/>
        <v>3.7320508075688776</v>
      </c>
    </row>
    <row r="469" spans="3:4">
      <c r="C469">
        <f>SUM($C$1:C468)*2+C468+1</f>
        <v>5.0560245044198502E+267</v>
      </c>
      <c r="D469">
        <f t="shared" si="8"/>
        <v>3.7320508075688772</v>
      </c>
    </row>
    <row r="470" spans="3:4">
      <c r="C470">
        <f>SUM($C$1:C469)*2+C469+1</f>
        <v>1.8869340334808135E+268</v>
      </c>
      <c r="D470">
        <f t="shared" si="8"/>
        <v>3.7320508075688776</v>
      </c>
    </row>
    <row r="471" spans="3:4">
      <c r="C471">
        <f>SUM($C$1:C470)*2+C470+1</f>
        <v>7.0421336834812689E+268</v>
      </c>
      <c r="D471">
        <f t="shared" si="8"/>
        <v>3.7320508075688772</v>
      </c>
    </row>
    <row r="472" spans="3:4">
      <c r="C472">
        <f>SUM($C$1:C471)*2+C471+1</f>
        <v>2.6281600700444262E+269</v>
      </c>
      <c r="D472">
        <f t="shared" si="8"/>
        <v>3.7320508075688772</v>
      </c>
    </row>
    <row r="473" spans="3:4">
      <c r="C473">
        <f>SUM($C$1:C472)*2+C472+1</f>
        <v>9.8084269118295772E+269</v>
      </c>
      <c r="D473">
        <f t="shared" si="8"/>
        <v>3.7320508075688772</v>
      </c>
    </row>
    <row r="474" spans="3:4">
      <c r="C474">
        <f>SUM($C$1:C473)*2+C473+1</f>
        <v>3.6605547577273884E+270</v>
      </c>
      <c r="D474">
        <f t="shared" si="8"/>
        <v>3.7320508075688772</v>
      </c>
    </row>
    <row r="475" spans="3:4">
      <c r="C475">
        <f>SUM($C$1:C474)*2+C474+1</f>
        <v>1.3661376339726595E+271</v>
      </c>
      <c r="D475">
        <f t="shared" si="8"/>
        <v>3.7320508075688772</v>
      </c>
    </row>
    <row r="476" spans="3:4">
      <c r="C476">
        <f>SUM($C$1:C475)*2+C475+1</f>
        <v>5.0984950601178995E+271</v>
      </c>
      <c r="D476">
        <f t="shared" si="8"/>
        <v>3.7320508075688772</v>
      </c>
    </row>
    <row r="477" spans="3:4">
      <c r="C477">
        <f>SUM($C$1:C476)*2+C476+1</f>
        <v>1.9027842606498939E+272</v>
      </c>
      <c r="D477">
        <f t="shared" si="8"/>
        <v>3.7320508075688772</v>
      </c>
    </row>
    <row r="478" spans="3:4">
      <c r="C478">
        <f>SUM($C$1:C477)*2+C477+1</f>
        <v>7.1012875365877855E+272</v>
      </c>
      <c r="D478">
        <f t="shared" si="8"/>
        <v>3.7320508075688772</v>
      </c>
    </row>
    <row r="479" spans="3:4">
      <c r="C479">
        <f>SUM($C$1:C478)*2+C478+1</f>
        <v>2.6502365885701244E+273</v>
      </c>
      <c r="D479">
        <f t="shared" si="8"/>
        <v>3.7320508075688767</v>
      </c>
    </row>
    <row r="480" spans="3:4">
      <c r="C480">
        <f>SUM($C$1:C479)*2+C479+1</f>
        <v>9.8908176006217208E+273</v>
      </c>
      <c r="D480">
        <f t="shared" si="8"/>
        <v>3.7320508075688781</v>
      </c>
    </row>
    <row r="481" spans="3:4">
      <c r="C481">
        <f>SUM($C$1:C480)*2+C480+1</f>
        <v>3.6913033813916754E+274</v>
      </c>
      <c r="D481">
        <f t="shared" si="8"/>
        <v>3.7320508075688767</v>
      </c>
    </row>
    <row r="482" spans="3:4">
      <c r="C482">
        <f>SUM($C$1:C481)*2+C481+1</f>
        <v>1.3776131765504529E+275</v>
      </c>
      <c r="D482">
        <f t="shared" si="8"/>
        <v>3.7320508075688772</v>
      </c>
    </row>
    <row r="483" spans="3:4">
      <c r="C483">
        <f>SUM($C$1:C482)*2+C482+1</f>
        <v>5.1413223680626441E+275</v>
      </c>
      <c r="D483">
        <f t="shared" si="8"/>
        <v>3.7320508075688772</v>
      </c>
    </row>
    <row r="484" spans="3:4">
      <c r="C484">
        <f>SUM($C$1:C483)*2+C483+1</f>
        <v>1.9187676295700122E+276</v>
      </c>
      <c r="D484">
        <f t="shared" si="8"/>
        <v>3.7320508075688772</v>
      </c>
    </row>
    <row r="485" spans="3:4">
      <c r="C485">
        <f>SUM($C$1:C484)*2+C484+1</f>
        <v>7.1609382814737844E+276</v>
      </c>
      <c r="D485">
        <f t="shared" si="8"/>
        <v>3.7320508075688772</v>
      </c>
    </row>
    <row r="486" spans="3:4">
      <c r="C486">
        <f>SUM($C$1:C485)*2+C485+1</f>
        <v>2.6724985496325125E+277</v>
      </c>
      <c r="D486">
        <f t="shared" si="8"/>
        <v>3.7320508075688772</v>
      </c>
    </row>
    <row r="487" spans="3:4">
      <c r="C487">
        <f>SUM($C$1:C486)*2+C486+1</f>
        <v>9.9739003703826714E+277</v>
      </c>
      <c r="D487">
        <f t="shared" si="8"/>
        <v>3.7320508075688772</v>
      </c>
    </row>
    <row r="488" spans="3:4">
      <c r="C488">
        <f>SUM($C$1:C487)*2+C487+1</f>
        <v>3.7223102931898173E+278</v>
      </c>
      <c r="D488">
        <f t="shared" si="8"/>
        <v>3.7320508075688772</v>
      </c>
    </row>
    <row r="489" spans="3:4">
      <c r="C489">
        <f>SUM($C$1:C488)*2+C488+1</f>
        <v>1.3891851135721002E+279</v>
      </c>
      <c r="D489">
        <f t="shared" si="8"/>
        <v>3.7320508075688772</v>
      </c>
    </row>
    <row r="490" spans="3:4">
      <c r="C490">
        <f>SUM($C$1:C489)*2+C489+1</f>
        <v>5.1845094249694194E+279</v>
      </c>
      <c r="D490">
        <f t="shared" si="8"/>
        <v>3.7320508075688776</v>
      </c>
    </row>
    <row r="491" spans="3:4">
      <c r="C491">
        <f>SUM($C$1:C490)*2+C490+1</f>
        <v>1.9348852586305574E+280</v>
      </c>
      <c r="D491">
        <f t="shared" si="8"/>
        <v>3.7320508075688767</v>
      </c>
    </row>
    <row r="492" spans="3:4">
      <c r="C492">
        <f>SUM($C$1:C491)*2+C491+1</f>
        <v>7.2210900920252879E+280</v>
      </c>
      <c r="D492">
        <f t="shared" si="8"/>
        <v>3.7320508075688772</v>
      </c>
    </row>
    <row r="493" spans="3:4">
      <c r="C493">
        <f>SUM($C$1:C492)*2+C492+1</f>
        <v>2.6949475109470594E+281</v>
      </c>
      <c r="D493">
        <f t="shared" si="8"/>
        <v>3.7320508075688772</v>
      </c>
    </row>
    <row r="494" spans="3:4">
      <c r="C494">
        <f>SUM($C$1:C493)*2+C493+1</f>
        <v>1.0057681034585709E+282</v>
      </c>
      <c r="D494">
        <f t="shared" si="8"/>
        <v>3.7320508075688776</v>
      </c>
    </row>
    <row r="495" spans="3:4">
      <c r="C495">
        <f>SUM($C$1:C494)*2+C494+1</f>
        <v>3.7535776627395778E+282</v>
      </c>
      <c r="D495">
        <f t="shared" si="8"/>
        <v>3.7320508075688772</v>
      </c>
    </row>
    <row r="496" spans="3:4">
      <c r="C496">
        <f>SUM($C$1:C495)*2+C495+1</f>
        <v>1.4008542547499741E+283</v>
      </c>
      <c r="D496">
        <f t="shared" si="8"/>
        <v>3.7320508075688776</v>
      </c>
    </row>
    <row r="497" spans="3:4">
      <c r="C497">
        <f>SUM($C$1:C496)*2+C496+1</f>
        <v>5.228059252725938E+283</v>
      </c>
      <c r="D497">
        <f t="shared" si="8"/>
        <v>3.7320508075688767</v>
      </c>
    </row>
    <row r="498" spans="3:4">
      <c r="C498">
        <f>SUM($C$1:C497)*2+C497+1</f>
        <v>1.9511382756153778E+284</v>
      </c>
      <c r="D498">
        <f t="shared" si="8"/>
        <v>3.7320508075688772</v>
      </c>
    </row>
    <row r="499" spans="3:4">
      <c r="C499">
        <f>SUM($C$1:C498)*2+C498+1</f>
        <v>7.2817471771889172E+284</v>
      </c>
      <c r="D499">
        <f t="shared" si="8"/>
        <v>3.7320508075688772</v>
      </c>
    </row>
    <row r="500" spans="3:4">
      <c r="C500">
        <f>SUM($C$1:C499)*2+C499+1</f>
        <v>2.7175850433140291E+285</v>
      </c>
      <c r="D500">
        <f t="shared" si="8"/>
        <v>3.7320508075688772</v>
      </c>
    </row>
    <row r="501" spans="3:4">
      <c r="C501">
        <f>SUM($C$1:C500)*2+C500+1</f>
        <v>1.0142165455537224E+286</v>
      </c>
      <c r="D501">
        <f t="shared" si="8"/>
        <v>3.7320508075688767</v>
      </c>
    </row>
    <row r="502" spans="3:4">
      <c r="C502">
        <f>SUM($C$1:C501)*2+C501+1</f>
        <v>3.7851076778834867E+286</v>
      </c>
      <c r="D502">
        <f t="shared" si="8"/>
        <v>3.7320508075688772</v>
      </c>
    </row>
    <row r="503" spans="3:4">
      <c r="C503">
        <f>SUM($C$1:C502)*2+C502+1</f>
        <v>1.4126214165980226E+287</v>
      </c>
      <c r="D503">
        <f t="shared" si="8"/>
        <v>3.7320508075688776</v>
      </c>
    </row>
    <row r="504" spans="3:4">
      <c r="C504">
        <f>SUM($C$1:C503)*2+C503+1</f>
        <v>5.2719748986037415E+287</v>
      </c>
      <c r="D504">
        <f t="shared" si="8"/>
        <v>3.7320508075688772</v>
      </c>
    </row>
    <row r="505" spans="3:4">
      <c r="C505">
        <f>SUM($C$1:C504)*2+C504+1</f>
        <v>1.9675278177816943E+288</v>
      </c>
      <c r="D505">
        <f t="shared" si="8"/>
        <v>3.7320508075688772</v>
      </c>
    </row>
    <row r="506" spans="3:4">
      <c r="C506">
        <f>SUM($C$1:C505)*2+C505+1</f>
        <v>7.3429137812664024E+288</v>
      </c>
      <c r="D506">
        <f t="shared" si="8"/>
        <v>3.7320508075688772</v>
      </c>
    </row>
    <row r="507" spans="3:4">
      <c r="C507">
        <f>SUM($C$1:C506)*2+C506+1</f>
        <v>2.7404127307283919E+289</v>
      </c>
      <c r="D507">
        <f t="shared" si="8"/>
        <v>3.7320508075688776</v>
      </c>
    </row>
    <row r="508" spans="3:4">
      <c r="C508">
        <f>SUM($C$1:C507)*2+C507+1</f>
        <v>1.0227359544786927E+290</v>
      </c>
      <c r="D508">
        <f t="shared" si="8"/>
        <v>3.7320508075688772</v>
      </c>
    </row>
    <row r="509" spans="3:4">
      <c r="C509">
        <f>SUM($C$1:C508)*2+C508+1</f>
        <v>3.8169025448419314E+290</v>
      </c>
      <c r="D509">
        <f t="shared" si="8"/>
        <v>3.7320508075688772</v>
      </c>
    </row>
    <row r="510" spans="3:4">
      <c r="C510">
        <f>SUM($C$1:C509)*2+C509+1</f>
        <v>1.4244874224889032E+291</v>
      </c>
      <c r="D510">
        <f t="shared" si="8"/>
        <v>3.7320508075688772</v>
      </c>
    </row>
    <row r="511" spans="3:4">
      <c r="C511">
        <f>SUM($C$1:C510)*2+C510+1</f>
        <v>5.3162594354714204E+291</v>
      </c>
      <c r="D511">
        <f t="shared" si="8"/>
        <v>3.7320508075688776</v>
      </c>
    </row>
    <row r="512" spans="3:4">
      <c r="C512">
        <f>SUM($C$1:C511)*2+C511+1</f>
        <v>1.984055031939678E+292</v>
      </c>
      <c r="D512">
        <f t="shared" si="8"/>
        <v>3.7320508075688776</v>
      </c>
    </row>
    <row r="513" spans="3:4">
      <c r="C513">
        <f>SUM($C$1:C512)*2+C512+1</f>
        <v>7.4045941842115691E+292</v>
      </c>
      <c r="D513">
        <f t="shared" si="8"/>
        <v>3.7320508075688767</v>
      </c>
    </row>
    <row r="514" spans="3:4">
      <c r="C514">
        <f>SUM($C$1:C513)*2+C513+1</f>
        <v>2.7634321704906599E+293</v>
      </c>
      <c r="D514">
        <f t="shared" si="8"/>
        <v>3.7320508075688772</v>
      </c>
    </row>
    <row r="515" spans="3:4">
      <c r="C515">
        <f>SUM($C$1:C514)*2+C514+1</f>
        <v>1.0313269263541483E+294</v>
      </c>
      <c r="D515">
        <f t="shared" ref="D515:D539" si="9">C515/C514</f>
        <v>3.7320508075688772</v>
      </c>
    </row>
    <row r="516" spans="3:4">
      <c r="C516">
        <f>SUM($C$1:C515)*2+C515+1</f>
        <v>3.8489644883675273E+294</v>
      </c>
      <c r="D516">
        <f t="shared" si="9"/>
        <v>3.7320508075688776</v>
      </c>
    </row>
    <row r="517" spans="3:4">
      <c r="C517">
        <f>SUM($C$1:C516)*2+C516+1</f>
        <v>1.436453102711596E+295</v>
      </c>
      <c r="D517">
        <f t="shared" si="9"/>
        <v>3.7320508075688772</v>
      </c>
    </row>
    <row r="518" spans="3:4">
      <c r="C518">
        <f>SUM($C$1:C517)*2+C517+1</f>
        <v>5.3609159620096317E+295</v>
      </c>
      <c r="D518">
        <f t="shared" si="9"/>
        <v>3.7320508075688776</v>
      </c>
    </row>
    <row r="519" spans="3:4">
      <c r="C519">
        <f>SUM($C$1:C518)*2+C518+1</f>
        <v>2.000721074532693E+296</v>
      </c>
      <c r="D519">
        <f t="shared" si="9"/>
        <v>3.7320508075688772</v>
      </c>
    </row>
    <row r="520" spans="3:4">
      <c r="C520">
        <f>SUM($C$1:C519)*2+C519+1</f>
        <v>7.4667927019298081E+296</v>
      </c>
      <c r="D520">
        <f t="shared" si="9"/>
        <v>3.7320508075688767</v>
      </c>
    </row>
    <row r="521" spans="3:4">
      <c r="C521">
        <f>SUM($C$1:C520)*2+C520+1</f>
        <v>2.7866449733186538E+297</v>
      </c>
      <c r="D521">
        <f t="shared" si="9"/>
        <v>3.7320508075688772</v>
      </c>
    </row>
    <row r="522" spans="3:4">
      <c r="C522">
        <f>SUM($C$1:C521)*2+C521+1</f>
        <v>1.0399900623081635E+298</v>
      </c>
      <c r="D522">
        <f t="shared" si="9"/>
        <v>3.7320508075688776</v>
      </c>
    </row>
    <row r="523" spans="3:4">
      <c r="C523">
        <f>SUM($C$1:C522)*2+C522+1</f>
        <v>3.8812957519007887E+298</v>
      </c>
      <c r="D523">
        <f t="shared" si="9"/>
        <v>3.7320508075688776</v>
      </c>
    </row>
    <row r="524" spans="3:4">
      <c r="C524">
        <f>SUM($C$1:C523)*2+C523+1</f>
        <v>1.4485192945294992E+299</v>
      </c>
      <c r="D524">
        <f t="shared" si="9"/>
        <v>3.7320508075688772</v>
      </c>
    </row>
    <row r="525" spans="3:4">
      <c r="C525">
        <f>SUM($C$1:C524)*2+C524+1</f>
        <v>5.4059476029279178E+299</v>
      </c>
      <c r="D525">
        <f t="shared" si="9"/>
        <v>3.7320508075688772</v>
      </c>
    </row>
    <row r="526" spans="3:4">
      <c r="C526">
        <f>SUM($C$1:C525)*2+C525+1</f>
        <v>2.0175271117182173E+300</v>
      </c>
      <c r="D526">
        <f t="shared" si="9"/>
        <v>3.7320508075688776</v>
      </c>
    </row>
    <row r="527" spans="3:4">
      <c r="C527">
        <f>SUM($C$1:C526)*2+C526+1</f>
        <v>7.5295136865800771E+300</v>
      </c>
      <c r="D527">
        <f t="shared" si="9"/>
        <v>3.7320508075688772</v>
      </c>
    </row>
    <row r="528" spans="3:4">
      <c r="C528">
        <f>SUM($C$1:C527)*2+C527+1</f>
        <v>2.810052763460209E+301</v>
      </c>
      <c r="D528">
        <f t="shared" si="9"/>
        <v>3.7320508075688772</v>
      </c>
    </row>
    <row r="529" spans="3:4">
      <c r="C529">
        <f>SUM($C$1:C528)*2+C528+1</f>
        <v>1.0487259685182828E+302</v>
      </c>
      <c r="D529">
        <f t="shared" si="9"/>
        <v>3.7320508075688772</v>
      </c>
    </row>
    <row r="530" spans="3:4">
      <c r="C530">
        <f>SUM($C$1:C529)*2+C529+1</f>
        <v>3.9138985977271105E+302</v>
      </c>
      <c r="D530">
        <f t="shared" si="9"/>
        <v>3.7320508075688772</v>
      </c>
    </row>
    <row r="531" spans="3:4">
      <c r="C531">
        <f>SUM($C$1:C530)*2+C530+1</f>
        <v>1.4606868422390159E+303</v>
      </c>
      <c r="D531">
        <f t="shared" si="9"/>
        <v>3.7320508075688772</v>
      </c>
    </row>
    <row r="532" spans="3:4">
      <c r="C532">
        <f>SUM($C$1:C531)*2+C531+1</f>
        <v>5.4513575091833522E+303</v>
      </c>
      <c r="D532">
        <f t="shared" si="9"/>
        <v>3.7320508075688772</v>
      </c>
    </row>
    <row r="533" spans="3:4">
      <c r="C533">
        <f>SUM($C$1:C532)*2+C532+1</f>
        <v>2.0344743194494392E+304</v>
      </c>
      <c r="D533">
        <f t="shared" si="9"/>
        <v>3.7320508075688772</v>
      </c>
    </row>
    <row r="534" spans="3:4">
      <c r="C534">
        <f>SUM($C$1:C533)*2+C533+1</f>
        <v>7.5927615268794215E+304</v>
      </c>
      <c r="D534">
        <f t="shared" si="9"/>
        <v>3.7320508075688772</v>
      </c>
    </row>
    <row r="535" spans="3:4">
      <c r="C535">
        <f>SUM($C$1:C534)*2+C534+1</f>
        <v>2.8336571788068248E+305</v>
      </c>
      <c r="D535">
        <f t="shared" si="9"/>
        <v>3.7320508075688776</v>
      </c>
    </row>
    <row r="536" spans="3:4">
      <c r="C536">
        <f>SUM($C$1:C535)*2+C535+1</f>
        <v>1.0575352562539355E+306</v>
      </c>
      <c r="D536">
        <f t="shared" si="9"/>
        <v>3.7320508075688767</v>
      </c>
    </row>
    <row r="537" spans="3:4">
      <c r="C537">
        <f>SUM($C$1:C536)*2+C536+1</f>
        <v>3.9467753071350597E+306</v>
      </c>
      <c r="D537">
        <f t="shared" si="9"/>
        <v>3.7320508075688772</v>
      </c>
    </row>
    <row r="538" spans="3:4">
      <c r="C538">
        <f>SUM($C$1:C537)*2+C537+1</f>
        <v>1.4729565972286303E+307</v>
      </c>
      <c r="D538">
        <f t="shared" si="9"/>
        <v>3.7320508075688772</v>
      </c>
    </row>
    <row r="539" spans="3:4">
      <c r="C539">
        <f>SUM($C$1:C538)*2+C538+1</f>
        <v>5.4971488582010153E+307</v>
      </c>
      <c r="D539">
        <f t="shared" si="9"/>
        <v>3.7320508075688772</v>
      </c>
    </row>
    <row r="540" spans="3:4">
      <c r="C540" t="e">
        <f>SUM($C$1:C539)*2+C539+1</f>
        <v>#NUM!</v>
      </c>
    </row>
    <row r="541" spans="3:4">
      <c r="C541" t="e">
        <f>SUM($C$1:C540)*2+C540+1</f>
        <v>#NUM!</v>
      </c>
    </row>
    <row r="542" spans="3:4">
      <c r="C542" t="e">
        <f>SUM($C$1:C541)*2+C541+1</f>
        <v>#NUM!</v>
      </c>
    </row>
    <row r="543" spans="3:4">
      <c r="C543" t="e">
        <f>SUM($C$1:C542)*2+C542+1</f>
        <v>#NUM!</v>
      </c>
    </row>
    <row r="544" spans="3:4">
      <c r="C544" t="e">
        <f>SUM($C$1:C543)*2+C543+1</f>
        <v>#NUM!</v>
      </c>
    </row>
    <row r="545" spans="3:3">
      <c r="C545" t="e">
        <f>SUM($C$1:C544)*2+C544+1</f>
        <v>#NUM!</v>
      </c>
    </row>
    <row r="546" spans="3:3">
      <c r="C546" t="e">
        <f>SUM($C$1:C545)*2+C545+1</f>
        <v>#NUM!</v>
      </c>
    </row>
    <row r="547" spans="3:3">
      <c r="C547" t="e">
        <f>SUM($C$1:C546)*2+C546+1</f>
        <v>#NUM!</v>
      </c>
    </row>
    <row r="548" spans="3:3">
      <c r="C548" t="e">
        <f>SUM($C$1:C547)*2+C547+1</f>
        <v>#NUM!</v>
      </c>
    </row>
    <row r="549" spans="3:3">
      <c r="C549" t="e">
        <f>SUM($C$1:C548)*2+C548+1</f>
        <v>#NUM!</v>
      </c>
    </row>
    <row r="550" spans="3:3">
      <c r="C550" t="e">
        <f>SUM($C$1:C549)*2+C549+1</f>
        <v>#NUM!</v>
      </c>
    </row>
    <row r="551" spans="3:3">
      <c r="C551" t="e">
        <f>SUM($C$1:C550)*2+C550+1</f>
        <v>#NUM!</v>
      </c>
    </row>
    <row r="552" spans="3:3">
      <c r="C552" t="e">
        <f>SUM($C$1:C551)*2+C551+1</f>
        <v>#NUM!</v>
      </c>
    </row>
    <row r="553" spans="3:3">
      <c r="C553" t="e">
        <f>SUM($C$1:C552)*2+C552+1</f>
        <v>#NUM!</v>
      </c>
    </row>
    <row r="554" spans="3:3">
      <c r="C554" t="e">
        <f>SUM($C$1:C553)*2+C553+1</f>
        <v>#NUM!</v>
      </c>
    </row>
    <row r="555" spans="3:3">
      <c r="C555" t="e">
        <f>SUM($C$1:C554)*2+C554+1</f>
        <v>#NUM!</v>
      </c>
    </row>
    <row r="556" spans="3:3">
      <c r="C556" t="e">
        <f>SUM($C$1:C555)*2+C555+1</f>
        <v>#NUM!</v>
      </c>
    </row>
    <row r="557" spans="3:3">
      <c r="C557" t="e">
        <f>SUM($C$1:C556)*2+C556+1</f>
        <v>#NUM!</v>
      </c>
    </row>
    <row r="558" spans="3:3">
      <c r="C558" t="e">
        <f>SUM($C$1:C557)*2+C557+1</f>
        <v>#NUM!</v>
      </c>
    </row>
    <row r="559" spans="3:3">
      <c r="C559" t="e">
        <f>SUM($C$1:C558)*2+C558+1</f>
        <v>#NUM!</v>
      </c>
    </row>
    <row r="560" spans="3:3">
      <c r="C560" t="e">
        <f>SUM($C$1:C559)*2+C559+1</f>
        <v>#NUM!</v>
      </c>
    </row>
    <row r="561" spans="3:3">
      <c r="C561" t="e">
        <f>SUM($C$1:C560)*2+C560+1</f>
        <v>#NUM!</v>
      </c>
    </row>
    <row r="562" spans="3:3">
      <c r="C562" t="e">
        <f>SUM($C$1:C561)*2+C561+1</f>
        <v>#NUM!</v>
      </c>
    </row>
    <row r="563" spans="3:3">
      <c r="C563" t="e">
        <f>SUM($C$1:C562)*2+C562+1</f>
        <v>#NUM!</v>
      </c>
    </row>
    <row r="564" spans="3:3">
      <c r="C564" t="e">
        <f>SUM($C$1:C563)*2+C563+1</f>
        <v>#NUM!</v>
      </c>
    </row>
    <row r="565" spans="3:3">
      <c r="C565" t="e">
        <f>SUM($C$1:C564)*2+C564+1</f>
        <v>#NUM!</v>
      </c>
    </row>
    <row r="566" spans="3:3">
      <c r="C566" t="e">
        <f>SUM($C$1:C565)*2+C565+1</f>
        <v>#NUM!</v>
      </c>
    </row>
    <row r="567" spans="3:3">
      <c r="C567" t="e">
        <f>SUM($C$1:C566)*2+C566+1</f>
        <v>#NUM!</v>
      </c>
    </row>
    <row r="568" spans="3:3">
      <c r="C568" t="e">
        <f>SUM($C$1:C567)*2+C567+1</f>
        <v>#NUM!</v>
      </c>
    </row>
    <row r="569" spans="3:3">
      <c r="C569" t="e">
        <f>SUM($C$1:C568)*2+C568+1</f>
        <v>#NUM!</v>
      </c>
    </row>
    <row r="570" spans="3:3">
      <c r="C570" t="e">
        <f>SUM($C$1:C569)*2+C569+1</f>
        <v>#NUM!</v>
      </c>
    </row>
    <row r="571" spans="3:3">
      <c r="C571" t="e">
        <f>SUM($C$1:C570)*2+C570+1</f>
        <v>#NUM!</v>
      </c>
    </row>
    <row r="572" spans="3:3">
      <c r="C572" t="e">
        <f>SUM($C$1:C571)*2+C571+1</f>
        <v>#NUM!</v>
      </c>
    </row>
    <row r="573" spans="3:3">
      <c r="C573" t="e">
        <f>SUM($C$1:C572)*2+C572+1</f>
        <v>#NUM!</v>
      </c>
    </row>
    <row r="574" spans="3:3">
      <c r="C574" t="e">
        <f>SUM($C$1:C573)*2+C573+1</f>
        <v>#NUM!</v>
      </c>
    </row>
    <row r="575" spans="3:3">
      <c r="C575" t="e">
        <f>SUM($C$1:C574)*2+C574+1</f>
        <v>#NUM!</v>
      </c>
    </row>
    <row r="576" spans="3:3">
      <c r="C576" t="e">
        <f>SUM($C$1:C575)*2+C575+1</f>
        <v>#NUM!</v>
      </c>
    </row>
    <row r="577" spans="3:3">
      <c r="C577" t="e">
        <f>SUM($C$1:C576)*2+C576+1</f>
        <v>#NUM!</v>
      </c>
    </row>
    <row r="578" spans="3:3">
      <c r="C578" t="e">
        <f>SUM($C$1:C577)*2+C577+1</f>
        <v>#NUM!</v>
      </c>
    </row>
    <row r="579" spans="3:3">
      <c r="C579" t="e">
        <f>SUM($C$1:C578)*2+C578+1</f>
        <v>#NUM!</v>
      </c>
    </row>
    <row r="580" spans="3:3">
      <c r="C580" t="e">
        <f>SUM($C$1:C579)*2+C579+1</f>
        <v>#NUM!</v>
      </c>
    </row>
    <row r="581" spans="3:3">
      <c r="C581" t="e">
        <f>SUM($C$1:C580)*2+C580+1</f>
        <v>#NUM!</v>
      </c>
    </row>
    <row r="582" spans="3:3">
      <c r="C582" t="e">
        <f>SUM($C$1:C581)*2+C581+1</f>
        <v>#NUM!</v>
      </c>
    </row>
    <row r="583" spans="3:3">
      <c r="C583" t="e">
        <f>SUM($C$1:C582)*2+C582+1</f>
        <v>#NUM!</v>
      </c>
    </row>
    <row r="584" spans="3:3">
      <c r="C584" t="e">
        <f>SUM($C$1:C583)*2+C583+1</f>
        <v>#NUM!</v>
      </c>
    </row>
    <row r="585" spans="3:3">
      <c r="C585" t="e">
        <f>SUM($C$1:C584)*2+C584+1</f>
        <v>#NUM!</v>
      </c>
    </row>
    <row r="586" spans="3:3">
      <c r="C586" t="e">
        <f>SUM($C$1:C585)*2+C585+1</f>
        <v>#NUM!</v>
      </c>
    </row>
    <row r="587" spans="3:3">
      <c r="C587" t="e">
        <f>SUM($C$1:C586)*2+C586+1</f>
        <v>#NUM!</v>
      </c>
    </row>
    <row r="588" spans="3:3">
      <c r="C588" t="e">
        <f>SUM($C$1:C587)*2+C587+1</f>
        <v>#NUM!</v>
      </c>
    </row>
    <row r="589" spans="3:3">
      <c r="C589" t="e">
        <f>SUM($C$1:C588)*2+C588+1</f>
        <v>#NUM!</v>
      </c>
    </row>
    <row r="590" spans="3:3">
      <c r="C590" t="e">
        <f>SUM($C$1:C589)*2+C589+1</f>
        <v>#NUM!</v>
      </c>
    </row>
    <row r="591" spans="3:3">
      <c r="C591" t="e">
        <f>SUM($C$1:C590)*2+C590+1</f>
        <v>#NUM!</v>
      </c>
    </row>
    <row r="592" spans="3:3">
      <c r="C592" t="e">
        <f>SUM($C$1:C591)*2+C591+1</f>
        <v>#NUM!</v>
      </c>
    </row>
    <row r="593" spans="3:3">
      <c r="C593" t="e">
        <f>SUM($C$1:C592)*2+C592+1</f>
        <v>#NUM!</v>
      </c>
    </row>
    <row r="594" spans="3:3">
      <c r="C594" t="e">
        <f>SUM($C$1:C593)*2+C593+1</f>
        <v>#NUM!</v>
      </c>
    </row>
    <row r="595" spans="3:3">
      <c r="C595" t="e">
        <f>SUM($C$1:C594)*2+C594+1</f>
        <v>#NUM!</v>
      </c>
    </row>
    <row r="596" spans="3:3">
      <c r="C596" t="e">
        <f>SUM($C$1:C595)*2+C595+1</f>
        <v>#NUM!</v>
      </c>
    </row>
    <row r="597" spans="3:3">
      <c r="C597" t="e">
        <f>SUM($C$1:C596)*2+C596+1</f>
        <v>#NUM!</v>
      </c>
    </row>
    <row r="598" spans="3:3">
      <c r="C598" t="e">
        <f>SUM($C$1:C597)*2+C597+1</f>
        <v>#NUM!</v>
      </c>
    </row>
    <row r="599" spans="3:3">
      <c r="C599" t="e">
        <f>SUM($C$1:C598)*2+C598+1</f>
        <v>#NUM!</v>
      </c>
    </row>
    <row r="600" spans="3:3">
      <c r="C600" t="e">
        <f>SUM($C$1:C599)*2+C599+1</f>
        <v>#NUM!</v>
      </c>
    </row>
    <row r="601" spans="3:3">
      <c r="C601" t="e">
        <f>SUM($C$1:C600)*2+C600+1</f>
        <v>#NUM!</v>
      </c>
    </row>
    <row r="602" spans="3:3">
      <c r="C602" t="e">
        <f>SUM($C$1:C601)*2+C601+1</f>
        <v>#NUM!</v>
      </c>
    </row>
    <row r="603" spans="3:3">
      <c r="C603" t="e">
        <f>SUM($C$1:C602)*2+C602+1</f>
        <v>#NUM!</v>
      </c>
    </row>
    <row r="604" spans="3:3">
      <c r="C604" t="e">
        <f>SUM($C$1:C603)*2+C603+1</f>
        <v>#NUM!</v>
      </c>
    </row>
    <row r="605" spans="3:3">
      <c r="C605" t="e">
        <f>SUM($C$1:C604)*2+C604+1</f>
        <v>#NUM!</v>
      </c>
    </row>
    <row r="606" spans="3:3">
      <c r="C606" t="e">
        <f>SUM($C$1:C605)*2+C605+1</f>
        <v>#NUM!</v>
      </c>
    </row>
    <row r="607" spans="3:3">
      <c r="C607" t="e">
        <f>SUM($C$1:C606)*2+C606+1</f>
        <v>#NUM!</v>
      </c>
    </row>
    <row r="608" spans="3:3">
      <c r="C608" t="e">
        <f>SUM($C$1:C607)*2+C607+1</f>
        <v>#NUM!</v>
      </c>
    </row>
    <row r="609" spans="3:3">
      <c r="C609" t="e">
        <f>SUM($C$1:C608)*2+C608+1</f>
        <v>#NUM!</v>
      </c>
    </row>
    <row r="610" spans="3:3">
      <c r="C610" t="e">
        <f>SUM($C$1:C609)*2+C609+1</f>
        <v>#NUM!</v>
      </c>
    </row>
    <row r="611" spans="3:3">
      <c r="C611" t="e">
        <f>SUM($C$1:C610)*2+C610+1</f>
        <v>#NUM!</v>
      </c>
    </row>
    <row r="612" spans="3:3">
      <c r="C612" t="e">
        <f>SUM($C$1:C611)*2+C611+1</f>
        <v>#NUM!</v>
      </c>
    </row>
    <row r="613" spans="3:3">
      <c r="C613" t="e">
        <f>SUM($C$1:C612)*2+C612+1</f>
        <v>#NUM!</v>
      </c>
    </row>
    <row r="614" spans="3:3">
      <c r="C614" t="e">
        <f>SUM($C$1:C613)*2+C613+1</f>
        <v>#NUM!</v>
      </c>
    </row>
    <row r="615" spans="3:3">
      <c r="C615" t="e">
        <f>SUM($C$1:C614)*2+C614+1</f>
        <v>#NUM!</v>
      </c>
    </row>
    <row r="616" spans="3:3">
      <c r="C616" t="e">
        <f>SUM($C$1:C615)*2+C615+1</f>
        <v>#NUM!</v>
      </c>
    </row>
    <row r="617" spans="3:3">
      <c r="C617" t="e">
        <f>SUM($C$1:C616)*2+C616+1</f>
        <v>#NUM!</v>
      </c>
    </row>
    <row r="618" spans="3:3">
      <c r="C618" t="e">
        <f>SUM($C$1:C617)*2+C617+1</f>
        <v>#NUM!</v>
      </c>
    </row>
    <row r="619" spans="3:3">
      <c r="C619" t="e">
        <f>SUM($C$1:C618)*2+C618+1</f>
        <v>#NUM!</v>
      </c>
    </row>
    <row r="620" spans="3:3">
      <c r="C620" t="e">
        <f>SUM($C$1:C619)*2+C619+1</f>
        <v>#NUM!</v>
      </c>
    </row>
    <row r="621" spans="3:3">
      <c r="C621" t="e">
        <f>SUM($C$1:C620)*2+C620+1</f>
        <v>#NUM!</v>
      </c>
    </row>
    <row r="622" spans="3:3">
      <c r="C622" t="e">
        <f>SUM($C$1:C621)*2+C621+1</f>
        <v>#NUM!</v>
      </c>
    </row>
    <row r="623" spans="3:3">
      <c r="C623" t="e">
        <f>SUM($C$1:C622)*2+C622+1</f>
        <v>#NUM!</v>
      </c>
    </row>
    <row r="624" spans="3:3">
      <c r="C624" t="e">
        <f>SUM($C$1:C623)*2+C623+1</f>
        <v>#NUM!</v>
      </c>
    </row>
    <row r="625" spans="3:3">
      <c r="C625" t="e">
        <f>SUM($C$1:C624)*2+C624+1</f>
        <v>#NUM!</v>
      </c>
    </row>
    <row r="626" spans="3:3">
      <c r="C626" t="e">
        <f>SUM($C$1:C625)*2+C625+1</f>
        <v>#NUM!</v>
      </c>
    </row>
    <row r="627" spans="3:3">
      <c r="C627" t="e">
        <f>SUM($C$1:C626)*2+C626+1</f>
        <v>#NUM!</v>
      </c>
    </row>
    <row r="628" spans="3:3">
      <c r="C628" t="e">
        <f>SUM($C$1:C627)*2+C627+1</f>
        <v>#NUM!</v>
      </c>
    </row>
    <row r="629" spans="3:3">
      <c r="C629" t="e">
        <f>SUM($C$1:C628)*2+C628+1</f>
        <v>#NUM!</v>
      </c>
    </row>
    <row r="630" spans="3:3">
      <c r="C630" t="e">
        <f>SUM($C$1:C629)*2+C629+1</f>
        <v>#NUM!</v>
      </c>
    </row>
    <row r="631" spans="3:3">
      <c r="C631" t="e">
        <f>SUM($C$1:C630)*2+C630+1</f>
        <v>#NUM!</v>
      </c>
    </row>
    <row r="632" spans="3:3">
      <c r="C632" t="e">
        <f>SUM($C$1:C631)*2+C631+1</f>
        <v>#NUM!</v>
      </c>
    </row>
    <row r="633" spans="3:3">
      <c r="C633" t="e">
        <f>SUM($C$1:C632)*2+C632+1</f>
        <v>#NUM!</v>
      </c>
    </row>
    <row r="634" spans="3:3">
      <c r="C634" t="e">
        <f>SUM($C$1:C633)*2+C633+1</f>
        <v>#NUM!</v>
      </c>
    </row>
    <row r="635" spans="3:3">
      <c r="C635" t="e">
        <f>SUM($C$1:C634)*2+C634+1</f>
        <v>#NUM!</v>
      </c>
    </row>
    <row r="636" spans="3:3">
      <c r="C636" t="e">
        <f>SUM($C$1:C635)*2+C635+1</f>
        <v>#NUM!</v>
      </c>
    </row>
    <row r="637" spans="3:3">
      <c r="C637" t="e">
        <f>SUM($C$1:C636)*2+C636+1</f>
        <v>#NUM!</v>
      </c>
    </row>
    <row r="638" spans="3:3">
      <c r="C638" t="e">
        <f>SUM($C$1:C637)*2+C637+1</f>
        <v>#NUM!</v>
      </c>
    </row>
    <row r="639" spans="3:3">
      <c r="C639" t="e">
        <f>SUM($C$1:C638)*2+C638+1</f>
        <v>#NUM!</v>
      </c>
    </row>
    <row r="640" spans="3:3">
      <c r="C640" t="e">
        <f>SUM($C$1:C639)*2+C639+1</f>
        <v>#NUM!</v>
      </c>
    </row>
    <row r="641" spans="3:3">
      <c r="C641" t="e">
        <f>SUM($C$1:C640)*2+C640+1</f>
        <v>#NUM!</v>
      </c>
    </row>
    <row r="642" spans="3:3">
      <c r="C642" t="e">
        <f>SUM($C$1:C641)*2+C641+1</f>
        <v>#NUM!</v>
      </c>
    </row>
    <row r="643" spans="3:3">
      <c r="C643" t="e">
        <f>SUM($C$1:C642)*2+C642+1</f>
        <v>#NUM!</v>
      </c>
    </row>
    <row r="644" spans="3:3">
      <c r="C644" t="e">
        <f>SUM($C$1:C643)*2+C643+1</f>
        <v>#NUM!</v>
      </c>
    </row>
    <row r="645" spans="3:3">
      <c r="C645" t="e">
        <f>SUM($C$1:C644)*2+C644+1</f>
        <v>#NUM!</v>
      </c>
    </row>
    <row r="646" spans="3:3">
      <c r="C646" t="e">
        <f>SUM($C$1:C645)*2+C645+1</f>
        <v>#NUM!</v>
      </c>
    </row>
    <row r="647" spans="3:3">
      <c r="C647" t="e">
        <f>SUM($C$1:C646)*2+C646+1</f>
        <v>#NUM!</v>
      </c>
    </row>
    <row r="648" spans="3:3">
      <c r="C648" t="e">
        <f>SUM($C$1:C647)*2+C647+1</f>
        <v>#NUM!</v>
      </c>
    </row>
    <row r="649" spans="3:3">
      <c r="C649" t="e">
        <f>SUM($C$1:C648)*2+C648+1</f>
        <v>#NUM!</v>
      </c>
    </row>
    <row r="650" spans="3:3">
      <c r="C650" t="e">
        <f>SUM($C$1:C649)*2+C649+1</f>
        <v>#NUM!</v>
      </c>
    </row>
    <row r="651" spans="3:3">
      <c r="C651" t="e">
        <f>SUM($C$1:C650)*2+C650+1</f>
        <v>#NUM!</v>
      </c>
    </row>
    <row r="652" spans="3:3">
      <c r="C652" t="e">
        <f>SUM($C$1:C651)*2+C651+1</f>
        <v>#NUM!</v>
      </c>
    </row>
    <row r="653" spans="3:3">
      <c r="C653" t="e">
        <f>SUM($C$1:C652)*2+C652+1</f>
        <v>#NUM!</v>
      </c>
    </row>
    <row r="654" spans="3:3">
      <c r="C654" t="e">
        <f>SUM($C$1:C653)*2+C653+1</f>
        <v>#NUM!</v>
      </c>
    </row>
    <row r="655" spans="3:3">
      <c r="C655" t="e">
        <f>SUM($C$1:C654)*2+C654+1</f>
        <v>#NUM!</v>
      </c>
    </row>
    <row r="656" spans="3:3">
      <c r="C656" t="e">
        <f>SUM($C$1:C655)*2+C655+1</f>
        <v>#NUM!</v>
      </c>
    </row>
    <row r="657" spans="3:3">
      <c r="C657" t="e">
        <f>SUM($C$1:C656)*2+C656+1</f>
        <v>#NUM!</v>
      </c>
    </row>
    <row r="658" spans="3:3">
      <c r="C658" t="e">
        <f>SUM($C$1:C657)*2+C657+1</f>
        <v>#NUM!</v>
      </c>
    </row>
    <row r="659" spans="3:3">
      <c r="C659" t="e">
        <f>SUM($C$1:C658)*2+C658+1</f>
        <v>#NUM!</v>
      </c>
    </row>
    <row r="660" spans="3:3">
      <c r="C660" t="e">
        <f>SUM($C$1:C659)*2+C659+1</f>
        <v>#NUM!</v>
      </c>
    </row>
    <row r="661" spans="3:3">
      <c r="C661" t="e">
        <f>SUM($C$1:C660)*2+C660+1</f>
        <v>#NUM!</v>
      </c>
    </row>
    <row r="662" spans="3:3">
      <c r="C662" t="e">
        <f>SUM($C$1:C661)*2+C661+1</f>
        <v>#NUM!</v>
      </c>
    </row>
    <row r="663" spans="3:3">
      <c r="C663" t="e">
        <f>SUM($C$1:C662)*2+C662+1</f>
        <v>#NUM!</v>
      </c>
    </row>
    <row r="664" spans="3:3">
      <c r="C664" t="e">
        <f>SUM($C$1:C663)*2+C663+1</f>
        <v>#NUM!</v>
      </c>
    </row>
    <row r="665" spans="3:3">
      <c r="C665" t="e">
        <f>SUM($C$1:C664)*2+C664+1</f>
        <v>#NUM!</v>
      </c>
    </row>
    <row r="666" spans="3:3">
      <c r="C666" t="e">
        <f>SUM($C$1:C665)*2+C665+1</f>
        <v>#NUM!</v>
      </c>
    </row>
    <row r="667" spans="3:3">
      <c r="C667" t="e">
        <f>SUM($C$1:C666)*2+C666+1</f>
        <v>#NUM!</v>
      </c>
    </row>
    <row r="668" spans="3:3">
      <c r="C668" t="e">
        <f>SUM($C$1:C667)*2+C667+1</f>
        <v>#NUM!</v>
      </c>
    </row>
    <row r="669" spans="3:3">
      <c r="C669" t="e">
        <f>SUM($C$1:C668)*2+C668+1</f>
        <v>#NUM!</v>
      </c>
    </row>
    <row r="670" spans="3:3">
      <c r="C670" t="e">
        <f>SUM($C$1:C669)*2+C669+1</f>
        <v>#NUM!</v>
      </c>
    </row>
    <row r="671" spans="3:3">
      <c r="C671" t="e">
        <f>SUM($C$1:C670)*2+C670+1</f>
        <v>#NUM!</v>
      </c>
    </row>
    <row r="672" spans="3:3">
      <c r="C672" t="e">
        <f>SUM($C$1:C671)*2+C671+1</f>
        <v>#NUM!</v>
      </c>
    </row>
    <row r="673" spans="3:3">
      <c r="C673" t="e">
        <f>SUM($C$1:C672)*2+C672+1</f>
        <v>#NUM!</v>
      </c>
    </row>
    <row r="674" spans="3:3">
      <c r="C674" t="e">
        <f>SUM($C$1:C673)*2+C673+1</f>
        <v>#NUM!</v>
      </c>
    </row>
    <row r="675" spans="3:3">
      <c r="C675" t="e">
        <f>SUM($C$1:C674)*2+C674+1</f>
        <v>#NUM!</v>
      </c>
    </row>
    <row r="676" spans="3:3">
      <c r="C676" t="e">
        <f>SUM($C$1:C675)*2+C675+1</f>
        <v>#NUM!</v>
      </c>
    </row>
    <row r="677" spans="3:3">
      <c r="C677" t="e">
        <f>SUM($C$1:C676)*2+C676+1</f>
        <v>#NUM!</v>
      </c>
    </row>
    <row r="678" spans="3:3">
      <c r="C678" t="e">
        <f>SUM($C$1:C677)*2+C677+1</f>
        <v>#NUM!</v>
      </c>
    </row>
    <row r="679" spans="3:3">
      <c r="C679" t="e">
        <f>SUM($C$1:C678)*2+C678+1</f>
        <v>#NUM!</v>
      </c>
    </row>
    <row r="680" spans="3:3">
      <c r="C680" t="e">
        <f>SUM($C$1:C679)*2+C679+1</f>
        <v>#NUM!</v>
      </c>
    </row>
    <row r="681" spans="3:3">
      <c r="C681" t="e">
        <f>SUM($C$1:C680)*2+C680+1</f>
        <v>#NUM!</v>
      </c>
    </row>
    <row r="682" spans="3:3">
      <c r="C682" t="e">
        <f>SUM($C$1:C681)*2+C681+1</f>
        <v>#NUM!</v>
      </c>
    </row>
    <row r="683" spans="3:3">
      <c r="C683" t="e">
        <f>SUM($C$1:C682)*2+C682+1</f>
        <v>#NUM!</v>
      </c>
    </row>
    <row r="684" spans="3:3">
      <c r="C684" t="e">
        <f>SUM($C$1:C683)*2+C683+1</f>
        <v>#NUM!</v>
      </c>
    </row>
    <row r="685" spans="3:3">
      <c r="C685" t="e">
        <f>SUM($C$1:C684)*2+C684+1</f>
        <v>#NUM!</v>
      </c>
    </row>
    <row r="686" spans="3:3">
      <c r="C686" t="e">
        <f>SUM($C$1:C685)*2+C685+1</f>
        <v>#NUM!</v>
      </c>
    </row>
    <row r="687" spans="3:3">
      <c r="C687" t="e">
        <f>SUM($C$1:C686)*2+C686+1</f>
        <v>#NUM!</v>
      </c>
    </row>
    <row r="688" spans="3:3">
      <c r="C688" t="e">
        <f>SUM($C$1:C687)*2+C687+1</f>
        <v>#NUM!</v>
      </c>
    </row>
    <row r="689" spans="3:3">
      <c r="C689" t="e">
        <f>SUM($C$1:C688)*2+C688+1</f>
        <v>#NUM!</v>
      </c>
    </row>
    <row r="690" spans="3:3">
      <c r="C690" t="e">
        <f>SUM($C$1:C689)*2+C689+1</f>
        <v>#NUM!</v>
      </c>
    </row>
    <row r="691" spans="3:3">
      <c r="C691" t="e">
        <f>SUM($C$1:C690)*2+C690+1</f>
        <v>#NUM!</v>
      </c>
    </row>
    <row r="692" spans="3:3">
      <c r="C692" t="e">
        <f>SUM($C$1:C691)*2+C691+1</f>
        <v>#NUM!</v>
      </c>
    </row>
    <row r="693" spans="3:3">
      <c r="C693" t="e">
        <f>SUM($C$1:C692)*2+C692+1</f>
        <v>#NUM!</v>
      </c>
    </row>
    <row r="694" spans="3:3">
      <c r="C694" t="e">
        <f>SUM($C$1:C693)*2+C693+1</f>
        <v>#NUM!</v>
      </c>
    </row>
    <row r="695" spans="3:3">
      <c r="C695" t="e">
        <f>SUM($C$1:C694)*2+C694+1</f>
        <v>#NUM!</v>
      </c>
    </row>
    <row r="696" spans="3:3">
      <c r="C696" t="e">
        <f>SUM($C$1:C695)*2+C695+1</f>
        <v>#NUM!</v>
      </c>
    </row>
    <row r="697" spans="3:3">
      <c r="C697" t="e">
        <f>SUM($C$1:C696)*2+C696+1</f>
        <v>#NUM!</v>
      </c>
    </row>
    <row r="698" spans="3:3">
      <c r="C698" t="e">
        <f>SUM($C$1:C697)*2+C697+1</f>
        <v>#NUM!</v>
      </c>
    </row>
    <row r="699" spans="3:3">
      <c r="C699" t="e">
        <f>SUM($C$1:C698)*2+C698+1</f>
        <v>#NUM!</v>
      </c>
    </row>
    <row r="700" spans="3:3">
      <c r="C700" t="e">
        <f>SUM($C$1:C699)*2+C699+1</f>
        <v>#NUM!</v>
      </c>
    </row>
    <row r="701" spans="3:3">
      <c r="C701" t="e">
        <f>SUM($C$1:C700)*2+C700+1</f>
        <v>#NUM!</v>
      </c>
    </row>
    <row r="702" spans="3:3">
      <c r="C702" t="e">
        <f>SUM($C$1:C701)*2+C701+1</f>
        <v>#NUM!</v>
      </c>
    </row>
    <row r="703" spans="3:3">
      <c r="C703" t="e">
        <f>SUM($C$1:C702)*2+C702+1</f>
        <v>#NUM!</v>
      </c>
    </row>
    <row r="704" spans="3:3">
      <c r="C704" t="e">
        <f>SUM($C$1:C703)*2+C703+1</f>
        <v>#NUM!</v>
      </c>
    </row>
    <row r="705" spans="3:3">
      <c r="C705" t="e">
        <f>SUM($C$1:C704)*2+C704+1</f>
        <v>#NUM!</v>
      </c>
    </row>
    <row r="706" spans="3:3">
      <c r="C706" t="e">
        <f>SUM($C$1:C705)*2+C705+1</f>
        <v>#NUM!</v>
      </c>
    </row>
    <row r="707" spans="3:3">
      <c r="C707" t="e">
        <f>SUM($C$1:C706)*2+C706+1</f>
        <v>#NUM!</v>
      </c>
    </row>
    <row r="708" spans="3:3">
      <c r="C708" t="e">
        <f>SUM($C$1:C707)*2+C707+1</f>
        <v>#NUM!</v>
      </c>
    </row>
    <row r="709" spans="3:3">
      <c r="C709" t="e">
        <f>SUM($C$1:C708)*2+C708+1</f>
        <v>#NUM!</v>
      </c>
    </row>
    <row r="710" spans="3:3">
      <c r="C710" t="e">
        <f>SUM($C$1:C709)*2+C709+1</f>
        <v>#NUM!</v>
      </c>
    </row>
    <row r="711" spans="3:3">
      <c r="C711" t="e">
        <f>SUM($C$1:C710)*2+C710+1</f>
        <v>#NUM!</v>
      </c>
    </row>
    <row r="712" spans="3:3">
      <c r="C712" t="e">
        <f>SUM($C$1:C711)*2+C711+1</f>
        <v>#NUM!</v>
      </c>
    </row>
    <row r="713" spans="3:3">
      <c r="C713" t="e">
        <f>SUM($C$1:C712)*2+C712+1</f>
        <v>#NUM!</v>
      </c>
    </row>
    <row r="714" spans="3:3">
      <c r="C714" t="e">
        <f>SUM($C$1:C713)*2+C713+1</f>
        <v>#NUM!</v>
      </c>
    </row>
    <row r="715" spans="3:3">
      <c r="C715" t="e">
        <f>SUM($C$1:C714)*2+C714+1</f>
        <v>#NUM!</v>
      </c>
    </row>
    <row r="716" spans="3:3">
      <c r="C716" t="e">
        <f>SUM($C$1:C715)*2+C715+1</f>
        <v>#NUM!</v>
      </c>
    </row>
    <row r="717" spans="3:3">
      <c r="C717" t="e">
        <f>SUM($C$1:C716)*2+C716+1</f>
        <v>#NUM!</v>
      </c>
    </row>
    <row r="718" spans="3:3">
      <c r="C718" t="e">
        <f>SUM($C$1:C717)*2+C717+1</f>
        <v>#NUM!</v>
      </c>
    </row>
    <row r="719" spans="3:3">
      <c r="C719" t="e">
        <f>SUM($C$1:C718)*2+C718+1</f>
        <v>#NUM!</v>
      </c>
    </row>
    <row r="720" spans="3:3">
      <c r="C720" t="e">
        <f>SUM($C$1:C719)*2+C719+1</f>
        <v>#NUM!</v>
      </c>
    </row>
    <row r="721" spans="3:3">
      <c r="C721" t="e">
        <f>SUM($C$1:C720)*2+C720+1</f>
        <v>#NUM!</v>
      </c>
    </row>
    <row r="722" spans="3:3">
      <c r="C722" t="e">
        <f>SUM($C$1:C721)*2+C721+1</f>
        <v>#NUM!</v>
      </c>
    </row>
    <row r="723" spans="3:3">
      <c r="C723" t="e">
        <f>SUM($C$1:C722)*2+C722+1</f>
        <v>#NUM!</v>
      </c>
    </row>
    <row r="724" spans="3:3">
      <c r="C724" t="e">
        <f>SUM($C$1:C723)*2+C723+1</f>
        <v>#NUM!</v>
      </c>
    </row>
    <row r="725" spans="3:3">
      <c r="C725" t="e">
        <f>SUM($C$1:C724)*2+C724+1</f>
        <v>#NUM!</v>
      </c>
    </row>
    <row r="726" spans="3:3">
      <c r="C726" t="e">
        <f>SUM($C$1:C725)*2+C725+1</f>
        <v>#NUM!</v>
      </c>
    </row>
    <row r="727" spans="3:3">
      <c r="C727" t="e">
        <f>SUM($C$1:C726)*2+C726+1</f>
        <v>#NUM!</v>
      </c>
    </row>
    <row r="728" spans="3:3">
      <c r="C728" t="e">
        <f>SUM($C$1:C727)*2+C727+1</f>
        <v>#NUM!</v>
      </c>
    </row>
    <row r="729" spans="3:3">
      <c r="C729" t="e">
        <f>SUM($C$1:C728)*2+C728+1</f>
        <v>#NUM!</v>
      </c>
    </row>
    <row r="730" spans="3:3">
      <c r="C730" t="e">
        <f>SUM($C$1:C729)*2+C729+1</f>
        <v>#NUM!</v>
      </c>
    </row>
    <row r="731" spans="3:3">
      <c r="C731" t="e">
        <f>SUM($C$1:C730)*2+C730+1</f>
        <v>#NUM!</v>
      </c>
    </row>
    <row r="732" spans="3:3">
      <c r="C732" t="e">
        <f>SUM($C$1:C731)*2+C731+1</f>
        <v>#NUM!</v>
      </c>
    </row>
    <row r="733" spans="3:3">
      <c r="C733" t="e">
        <f>SUM($C$1:C732)*2+C732+1</f>
        <v>#NUM!</v>
      </c>
    </row>
    <row r="734" spans="3:3">
      <c r="C734" t="e">
        <f>SUM($C$1:C733)*2+C733+1</f>
        <v>#NUM!</v>
      </c>
    </row>
    <row r="735" spans="3:3">
      <c r="C735" t="e">
        <f>SUM($C$1:C734)*2+C734+1</f>
        <v>#NUM!</v>
      </c>
    </row>
    <row r="736" spans="3:3">
      <c r="C736" t="e">
        <f>SUM($C$1:C735)*2+C735+1</f>
        <v>#NUM!</v>
      </c>
    </row>
    <row r="737" spans="3:3">
      <c r="C737" t="e">
        <f>SUM($C$1:C736)*2+C736+1</f>
        <v>#NUM!</v>
      </c>
    </row>
    <row r="738" spans="3:3">
      <c r="C738" t="e">
        <f>SUM($C$1:C737)*2+C737+1</f>
        <v>#NUM!</v>
      </c>
    </row>
    <row r="739" spans="3:3">
      <c r="C739" t="e">
        <f>SUM($C$1:C738)*2+C738+1</f>
        <v>#NUM!</v>
      </c>
    </row>
    <row r="740" spans="3:3">
      <c r="C740" t="e">
        <f>SUM($C$1:C739)*2+C739+1</f>
        <v>#NUM!</v>
      </c>
    </row>
    <row r="741" spans="3:3">
      <c r="C741" t="e">
        <f>SUM($C$1:C740)*2+C740+1</f>
        <v>#NUM!</v>
      </c>
    </row>
    <row r="742" spans="3:3">
      <c r="C742" t="e">
        <f>SUM($C$1:C741)*2+C741+1</f>
        <v>#NUM!</v>
      </c>
    </row>
    <row r="743" spans="3:3">
      <c r="C743" t="e">
        <f>SUM($C$1:C742)*2+C742+1</f>
        <v>#NUM!</v>
      </c>
    </row>
    <row r="744" spans="3:3">
      <c r="C744" t="e">
        <f>SUM($C$1:C743)*2+C743+1</f>
        <v>#NUM!</v>
      </c>
    </row>
    <row r="745" spans="3:3">
      <c r="C745" t="e">
        <f>SUM($C$1:C744)*2+C744+1</f>
        <v>#NUM!</v>
      </c>
    </row>
    <row r="746" spans="3:3">
      <c r="C746" t="e">
        <f>SUM($C$1:C745)*2+C745+1</f>
        <v>#NUM!</v>
      </c>
    </row>
    <row r="747" spans="3:3">
      <c r="C747" t="e">
        <f>SUM($C$1:C746)*2+C746+1</f>
        <v>#NUM!</v>
      </c>
    </row>
    <row r="748" spans="3:3">
      <c r="C748" t="e">
        <f>SUM($C$1:C747)*2+C747+1</f>
        <v>#NUM!</v>
      </c>
    </row>
    <row r="749" spans="3:3">
      <c r="C749" t="e">
        <f>SUM($C$1:C748)*2+C748+1</f>
        <v>#NUM!</v>
      </c>
    </row>
    <row r="750" spans="3:3">
      <c r="C750" t="e">
        <f>SUM($C$1:C749)*2+C749+1</f>
        <v>#NUM!</v>
      </c>
    </row>
    <row r="751" spans="3:3">
      <c r="C751" t="e">
        <f>SUM($C$1:C750)*2+C750+1</f>
        <v>#NUM!</v>
      </c>
    </row>
    <row r="752" spans="3:3">
      <c r="C752" t="e">
        <f>SUM($C$1:C751)*2+C751+1</f>
        <v>#NUM!</v>
      </c>
    </row>
    <row r="753" spans="3:3">
      <c r="C753" t="e">
        <f>SUM($C$1:C752)*2+C752+1</f>
        <v>#NUM!</v>
      </c>
    </row>
    <row r="754" spans="3:3">
      <c r="C754" t="e">
        <f>SUM($C$1:C753)*2+C753+1</f>
        <v>#NUM!</v>
      </c>
    </row>
    <row r="755" spans="3:3">
      <c r="C755" t="e">
        <f>SUM($C$1:C754)*2+C754+1</f>
        <v>#NUM!</v>
      </c>
    </row>
    <row r="756" spans="3:3">
      <c r="C756" t="e">
        <f>SUM($C$1:C755)*2+C755+1</f>
        <v>#NUM!</v>
      </c>
    </row>
    <row r="757" spans="3:3">
      <c r="C757" t="e">
        <f>SUM($C$1:C756)*2+C756+1</f>
        <v>#NUM!</v>
      </c>
    </row>
    <row r="758" spans="3:3">
      <c r="C758" t="e">
        <f>SUM($C$1:C757)*2+C757+1</f>
        <v>#NUM!</v>
      </c>
    </row>
    <row r="759" spans="3:3">
      <c r="C759" t="e">
        <f>SUM($C$1:C758)*2+C758+1</f>
        <v>#NUM!</v>
      </c>
    </row>
    <row r="760" spans="3:3">
      <c r="C760" t="e">
        <f>SUM($C$1:C759)*2+C759+1</f>
        <v>#NUM!</v>
      </c>
    </row>
    <row r="761" spans="3:3">
      <c r="C761" t="e">
        <f>SUM($C$1:C760)*2+C760+1</f>
        <v>#NUM!</v>
      </c>
    </row>
    <row r="762" spans="3:3">
      <c r="C762" t="e">
        <f>SUM($C$1:C761)*2+C761+1</f>
        <v>#NUM!</v>
      </c>
    </row>
    <row r="763" spans="3:3">
      <c r="C763" t="e">
        <f>SUM($C$1:C762)*2+C762+1</f>
        <v>#NUM!</v>
      </c>
    </row>
    <row r="764" spans="3:3">
      <c r="C764" t="e">
        <f>SUM($C$1:C763)*2+C763+1</f>
        <v>#NUM!</v>
      </c>
    </row>
    <row r="765" spans="3:3">
      <c r="C765" t="e">
        <f>SUM($C$1:C764)*2+C764+1</f>
        <v>#NUM!</v>
      </c>
    </row>
    <row r="766" spans="3:3">
      <c r="C766" t="e">
        <f>SUM($C$1:C765)*2+C765+1</f>
        <v>#NUM!</v>
      </c>
    </row>
    <row r="767" spans="3:3">
      <c r="C767" t="e">
        <f>SUM($C$1:C766)*2+C766+1</f>
        <v>#NUM!</v>
      </c>
    </row>
    <row r="768" spans="3:3">
      <c r="C768" t="e">
        <f>SUM($C$1:C767)*2+C767+1</f>
        <v>#NUM!</v>
      </c>
    </row>
    <row r="769" spans="3:3">
      <c r="C769" t="e">
        <f>SUM($C$1:C768)*2+C768+1</f>
        <v>#NUM!</v>
      </c>
    </row>
    <row r="770" spans="3:3">
      <c r="C770" t="e">
        <f>SUM($C$1:C769)*2+C769+1</f>
        <v>#NUM!</v>
      </c>
    </row>
    <row r="771" spans="3:3">
      <c r="C771" t="e">
        <f>SUM($C$1:C770)*2+C770+1</f>
        <v>#NUM!</v>
      </c>
    </row>
    <row r="772" spans="3:3">
      <c r="C772" t="e">
        <f>SUM($C$1:C771)*2+C771+1</f>
        <v>#NUM!</v>
      </c>
    </row>
    <row r="773" spans="3:3">
      <c r="C773" t="e">
        <f>SUM($C$1:C772)*2+C772+1</f>
        <v>#NUM!</v>
      </c>
    </row>
    <row r="774" spans="3:3">
      <c r="C774" t="e">
        <f>SUM($C$1:C773)*2+C773+1</f>
        <v>#NUM!</v>
      </c>
    </row>
    <row r="775" spans="3:3">
      <c r="C775" t="e">
        <f>SUM($C$1:C774)*2+C774+1</f>
        <v>#NUM!</v>
      </c>
    </row>
    <row r="776" spans="3:3">
      <c r="C776" t="e">
        <f>SUM($C$1:C775)*2+C775+1</f>
        <v>#NUM!</v>
      </c>
    </row>
    <row r="777" spans="3:3">
      <c r="C777" t="e">
        <f>SUM($C$1:C776)*2+C776+1</f>
        <v>#NUM!</v>
      </c>
    </row>
    <row r="778" spans="3:3">
      <c r="C778" t="e">
        <f>SUM($C$1:C777)*2+C777+1</f>
        <v>#NUM!</v>
      </c>
    </row>
    <row r="779" spans="3:3">
      <c r="C779" t="e">
        <f>SUM($C$1:C778)*2+C778+1</f>
        <v>#NUM!</v>
      </c>
    </row>
    <row r="780" spans="3:3">
      <c r="C780" t="e">
        <f>SUM($C$1:C779)*2+C779+1</f>
        <v>#NUM!</v>
      </c>
    </row>
    <row r="781" spans="3:3">
      <c r="C781" t="e">
        <f>SUM($C$1:C780)*2+C780+1</f>
        <v>#NUM!</v>
      </c>
    </row>
    <row r="782" spans="3:3">
      <c r="C782" t="e">
        <f>SUM($C$1:C781)*2+C781+1</f>
        <v>#NUM!</v>
      </c>
    </row>
    <row r="783" spans="3:3">
      <c r="C783" t="e">
        <f>SUM($C$1:C782)*2+C782+1</f>
        <v>#NUM!</v>
      </c>
    </row>
    <row r="784" spans="3:3">
      <c r="C784" t="e">
        <f>SUM($C$1:C783)*2+C783+1</f>
        <v>#NUM!</v>
      </c>
    </row>
    <row r="785" spans="3:3">
      <c r="C785" t="e">
        <f>SUM($C$1:C784)*2+C784+1</f>
        <v>#NUM!</v>
      </c>
    </row>
    <row r="786" spans="3:3">
      <c r="C786" t="e">
        <f>SUM($C$1:C785)*2+C785+1</f>
        <v>#NUM!</v>
      </c>
    </row>
    <row r="787" spans="3:3">
      <c r="C787" t="e">
        <f>SUM($C$1:C786)*2+C786+1</f>
        <v>#NUM!</v>
      </c>
    </row>
    <row r="788" spans="3:3">
      <c r="C788" t="e">
        <f>SUM($C$1:C787)*2+C787+1</f>
        <v>#NUM!</v>
      </c>
    </row>
    <row r="789" spans="3:3">
      <c r="C789" t="e">
        <f>SUM($C$1:C788)*2+C788+1</f>
        <v>#NUM!</v>
      </c>
    </row>
    <row r="790" spans="3:3">
      <c r="C790" t="e">
        <f>SUM($C$1:C789)*2+C789+1</f>
        <v>#NUM!</v>
      </c>
    </row>
    <row r="791" spans="3:3">
      <c r="C791" t="e">
        <f>SUM($C$1:C790)*2+C790+1</f>
        <v>#NUM!</v>
      </c>
    </row>
    <row r="792" spans="3:3">
      <c r="C792" t="e">
        <f>SUM($C$1:C791)*2+C791+1</f>
        <v>#NUM!</v>
      </c>
    </row>
    <row r="793" spans="3:3">
      <c r="C793" t="e">
        <f>SUM($C$1:C792)*2+C792+1</f>
        <v>#NUM!</v>
      </c>
    </row>
    <row r="794" spans="3:3">
      <c r="C794" t="e">
        <f>SUM($C$1:C793)*2+C793+1</f>
        <v>#NUM!</v>
      </c>
    </row>
    <row r="795" spans="3:3">
      <c r="C795" t="e">
        <f>SUM($C$1:C794)*2+C794+1</f>
        <v>#NUM!</v>
      </c>
    </row>
    <row r="796" spans="3:3">
      <c r="C796" t="e">
        <f>SUM($C$1:C795)*2+C795+1</f>
        <v>#NUM!</v>
      </c>
    </row>
    <row r="797" spans="3:3">
      <c r="C797" t="e">
        <f>SUM($C$1:C796)*2+C796+1</f>
        <v>#NUM!</v>
      </c>
    </row>
    <row r="798" spans="3:3">
      <c r="C798" t="e">
        <f>SUM($C$1:C797)*2+C797+1</f>
        <v>#NUM!</v>
      </c>
    </row>
    <row r="799" spans="3:3">
      <c r="C799" t="e">
        <f>SUM($C$1:C798)*2+C798+1</f>
        <v>#NUM!</v>
      </c>
    </row>
    <row r="800" spans="3:3">
      <c r="C800" t="e">
        <f>SUM($C$1:C799)*2+C799+1</f>
        <v>#NUM!</v>
      </c>
    </row>
    <row r="801" spans="3:3">
      <c r="C801" t="e">
        <f>SUM($C$1:C800)*2+C800+1</f>
        <v>#NUM!</v>
      </c>
    </row>
    <row r="802" spans="3:3">
      <c r="C802" t="e">
        <f>SUM($C$1:C801)*2+C801+1</f>
        <v>#NUM!</v>
      </c>
    </row>
    <row r="803" spans="3:3">
      <c r="C803" t="e">
        <f>SUM($C$1:C802)*2+C802+1</f>
        <v>#NUM!</v>
      </c>
    </row>
    <row r="804" spans="3:3">
      <c r="C804" t="e">
        <f>SUM($C$1:C803)*2+C803+1</f>
        <v>#NUM!</v>
      </c>
    </row>
    <row r="805" spans="3:3">
      <c r="C805" t="e">
        <f>SUM($C$1:C804)*2+C804+1</f>
        <v>#NUM!</v>
      </c>
    </row>
    <row r="806" spans="3:3">
      <c r="C806" t="e">
        <f>SUM($C$1:C805)*2+C805+1</f>
        <v>#NUM!</v>
      </c>
    </row>
    <row r="807" spans="3:3">
      <c r="C807" t="e">
        <f>SUM($C$1:C806)*2+C806+1</f>
        <v>#NUM!</v>
      </c>
    </row>
    <row r="808" spans="3:3">
      <c r="C808" t="e">
        <f>SUM($C$1:C807)*2+C807+1</f>
        <v>#NUM!</v>
      </c>
    </row>
    <row r="809" spans="3:3">
      <c r="C809" t="e">
        <f>SUM($C$1:C808)*2+C808+1</f>
        <v>#NUM!</v>
      </c>
    </row>
    <row r="810" spans="3:3">
      <c r="C810" t="e">
        <f>SUM($C$1:C809)*2+C809+1</f>
        <v>#NUM!</v>
      </c>
    </row>
    <row r="811" spans="3:3">
      <c r="C811" t="e">
        <f>SUM($C$1:C810)*2+C810+1</f>
        <v>#NUM!</v>
      </c>
    </row>
    <row r="812" spans="3:3">
      <c r="C812" t="e">
        <f>SUM($C$1:C811)*2+C811+1</f>
        <v>#NUM!</v>
      </c>
    </row>
    <row r="813" spans="3:3">
      <c r="C813" t="e">
        <f>SUM($C$1:C812)*2+C812+1</f>
        <v>#NUM!</v>
      </c>
    </row>
    <row r="814" spans="3:3">
      <c r="C814" t="e">
        <f>SUM($C$1:C813)*2+C813+1</f>
        <v>#NUM!</v>
      </c>
    </row>
    <row r="815" spans="3:3">
      <c r="C815" t="e">
        <f>SUM($C$1:C814)*2+C814+1</f>
        <v>#NUM!</v>
      </c>
    </row>
    <row r="816" spans="3:3">
      <c r="C816" t="e">
        <f>SUM($C$1:C815)*2+C815+1</f>
        <v>#NUM!</v>
      </c>
    </row>
    <row r="817" spans="3:3">
      <c r="C817" t="e">
        <f>SUM($C$1:C816)*2+C816+1</f>
        <v>#NUM!</v>
      </c>
    </row>
    <row r="818" spans="3:3">
      <c r="C818" t="e">
        <f>SUM($C$1:C817)*2+C817+1</f>
        <v>#NUM!</v>
      </c>
    </row>
    <row r="819" spans="3:3">
      <c r="C819" t="e">
        <f>SUM($C$1:C818)*2+C818+1</f>
        <v>#NUM!</v>
      </c>
    </row>
    <row r="820" spans="3:3">
      <c r="C820" t="e">
        <f>SUM($C$1:C819)*2+C819+1</f>
        <v>#NUM!</v>
      </c>
    </row>
    <row r="821" spans="3:3">
      <c r="C821" t="e">
        <f>SUM($C$1:C820)*2+C820+1</f>
        <v>#NUM!</v>
      </c>
    </row>
    <row r="822" spans="3:3">
      <c r="C822" t="e">
        <f>SUM($C$1:C821)*2+C821+1</f>
        <v>#NUM!</v>
      </c>
    </row>
    <row r="823" spans="3:3">
      <c r="C823" t="e">
        <f>SUM($C$1:C822)*2+C822+1</f>
        <v>#NUM!</v>
      </c>
    </row>
    <row r="824" spans="3:3">
      <c r="C824" t="e">
        <f>SUM($C$1:C823)*2+C823+1</f>
        <v>#NUM!</v>
      </c>
    </row>
    <row r="825" spans="3:3">
      <c r="C825" t="e">
        <f>SUM($C$1:C824)*2+C824+1</f>
        <v>#NUM!</v>
      </c>
    </row>
    <row r="826" spans="3:3">
      <c r="C826" t="e">
        <f>SUM($C$1:C825)*2+C825+1</f>
        <v>#NUM!</v>
      </c>
    </row>
    <row r="827" spans="3:3">
      <c r="C827" t="e">
        <f>SUM($C$1:C826)*2+C826+1</f>
        <v>#NUM!</v>
      </c>
    </row>
    <row r="828" spans="3:3">
      <c r="C828" t="e">
        <f>SUM($C$1:C827)*2+C827+1</f>
        <v>#NUM!</v>
      </c>
    </row>
    <row r="829" spans="3:3">
      <c r="C829" t="e">
        <f>SUM($C$1:C828)*2+C828+1</f>
        <v>#NUM!</v>
      </c>
    </row>
    <row r="830" spans="3:3">
      <c r="C830" t="e">
        <f>SUM($C$1:C829)*2+C829+1</f>
        <v>#NUM!</v>
      </c>
    </row>
    <row r="831" spans="3:3">
      <c r="C831" t="e">
        <f>SUM($C$1:C830)*2+C830+1</f>
        <v>#NUM!</v>
      </c>
    </row>
    <row r="832" spans="3:3">
      <c r="C832" t="e">
        <f>SUM($C$1:C831)*2+C831+1</f>
        <v>#NUM!</v>
      </c>
    </row>
    <row r="833" spans="3:3">
      <c r="C833" t="e">
        <f>SUM($C$1:C832)*2+C832+1</f>
        <v>#NUM!</v>
      </c>
    </row>
    <row r="834" spans="3:3">
      <c r="C834" t="e">
        <f>SUM($C$1:C833)*2+C833+1</f>
        <v>#NUM!</v>
      </c>
    </row>
    <row r="835" spans="3:3">
      <c r="C835" t="e">
        <f>SUM($C$1:C834)*2+C834+1</f>
        <v>#NUM!</v>
      </c>
    </row>
    <row r="836" spans="3:3">
      <c r="C836" t="e">
        <f>SUM($C$1:C835)*2+C835+1</f>
        <v>#NUM!</v>
      </c>
    </row>
    <row r="837" spans="3:3">
      <c r="C837" t="e">
        <f>SUM($C$1:C836)*2+C836+1</f>
        <v>#NUM!</v>
      </c>
    </row>
    <row r="838" spans="3:3">
      <c r="C838" t="e">
        <f>SUM($C$1:C837)*2+C837+1</f>
        <v>#NUM!</v>
      </c>
    </row>
    <row r="839" spans="3:3">
      <c r="C839" t="e">
        <f>SUM($C$1:C838)*2+C838+1</f>
        <v>#NUM!</v>
      </c>
    </row>
    <row r="840" spans="3:3">
      <c r="C840" t="e">
        <f>SUM($C$1:C839)*2+C839+1</f>
        <v>#NUM!</v>
      </c>
    </row>
    <row r="841" spans="3:3">
      <c r="C841" t="e">
        <f>SUM($C$1:C840)*2+C840+1</f>
        <v>#NUM!</v>
      </c>
    </row>
    <row r="842" spans="3:3">
      <c r="C842" t="e">
        <f>SUM($C$1:C841)*2+C841+1</f>
        <v>#NUM!</v>
      </c>
    </row>
    <row r="843" spans="3:3">
      <c r="C843" t="e">
        <f>SUM($C$1:C842)*2+C842+1</f>
        <v>#NUM!</v>
      </c>
    </row>
    <row r="844" spans="3:3">
      <c r="C844" t="e">
        <f>SUM($C$1:C843)*2+C843+1</f>
        <v>#NUM!</v>
      </c>
    </row>
    <row r="845" spans="3:3">
      <c r="C845" t="e">
        <f>SUM($C$1:C844)*2+C844+1</f>
        <v>#NUM!</v>
      </c>
    </row>
    <row r="846" spans="3:3">
      <c r="C846" t="e">
        <f>SUM($C$1:C845)*2+C845+1</f>
        <v>#NUM!</v>
      </c>
    </row>
    <row r="847" spans="3:3">
      <c r="C847" t="e">
        <f>SUM($C$1:C846)*2+C846+1</f>
        <v>#NUM!</v>
      </c>
    </row>
    <row r="848" spans="3:3">
      <c r="C848" t="e">
        <f>SUM($C$1:C847)*2+C847+1</f>
        <v>#NUM!</v>
      </c>
    </row>
    <row r="849" spans="3:3">
      <c r="C849" t="e">
        <f>SUM($C$1:C848)*2+C848+1</f>
        <v>#NUM!</v>
      </c>
    </row>
    <row r="850" spans="3:3">
      <c r="C850" t="e">
        <f>SUM($C$1:C849)*2+C849+1</f>
        <v>#NUM!</v>
      </c>
    </row>
    <row r="851" spans="3:3">
      <c r="C851" t="e">
        <f>SUM($C$1:C850)*2+C850+1</f>
        <v>#NUM!</v>
      </c>
    </row>
    <row r="852" spans="3:3">
      <c r="C852" t="e">
        <f>SUM($C$1:C851)*2+C851+1</f>
        <v>#NUM!</v>
      </c>
    </row>
    <row r="853" spans="3:3">
      <c r="C853" t="e">
        <f>SUM($C$1:C852)*2+C852+1</f>
        <v>#NUM!</v>
      </c>
    </row>
    <row r="854" spans="3:3">
      <c r="C854" t="e">
        <f>SUM($C$1:C853)*2+C853+1</f>
        <v>#NUM!</v>
      </c>
    </row>
    <row r="855" spans="3:3">
      <c r="C855" t="e">
        <f>SUM($C$1:C854)*2+C854+1</f>
        <v>#NUM!</v>
      </c>
    </row>
    <row r="856" spans="3:3">
      <c r="C856" t="e">
        <f>SUM($C$1:C855)*2+C855+1</f>
        <v>#NUM!</v>
      </c>
    </row>
    <row r="857" spans="3:3">
      <c r="C857" t="e">
        <f>SUM($C$1:C856)*2+C856+1</f>
        <v>#NUM!</v>
      </c>
    </row>
    <row r="858" spans="3:3">
      <c r="C858" t="e">
        <f>SUM($C$1:C857)*2+C857+1</f>
        <v>#NUM!</v>
      </c>
    </row>
    <row r="859" spans="3:3">
      <c r="C859" t="e">
        <f>SUM($C$1:C858)*2+C858+1</f>
        <v>#NUM!</v>
      </c>
    </row>
    <row r="860" spans="3:3">
      <c r="C860" t="e">
        <f>SUM($C$1:C859)*2+C859+1</f>
        <v>#NUM!</v>
      </c>
    </row>
    <row r="861" spans="3:3">
      <c r="C861" t="e">
        <f>SUM($C$1:C860)*2+C860+1</f>
        <v>#NUM!</v>
      </c>
    </row>
    <row r="862" spans="3:3">
      <c r="C862" t="e">
        <f>SUM($C$1:C861)*2+C861+1</f>
        <v>#NUM!</v>
      </c>
    </row>
    <row r="863" spans="3:3">
      <c r="C863" t="e">
        <f>SUM($C$1:C862)*2+C862+1</f>
        <v>#NUM!</v>
      </c>
    </row>
    <row r="864" spans="3:3">
      <c r="C864" t="e">
        <f>SUM($C$1:C863)*2+C863+1</f>
        <v>#NUM!</v>
      </c>
    </row>
    <row r="865" spans="3:3">
      <c r="C865" t="e">
        <f>SUM($C$1:C864)*2+C864+1</f>
        <v>#NUM!</v>
      </c>
    </row>
    <row r="866" spans="3:3">
      <c r="C866" t="e">
        <f>SUM($C$1:C865)*2+C865+1</f>
        <v>#NUM!</v>
      </c>
    </row>
    <row r="867" spans="3:3">
      <c r="C867" t="e">
        <f>SUM($C$1:C866)*2+C866+1</f>
        <v>#NUM!</v>
      </c>
    </row>
    <row r="868" spans="3:3">
      <c r="C868" t="e">
        <f>SUM($C$1:C867)*2+C867+1</f>
        <v>#NUM!</v>
      </c>
    </row>
    <row r="869" spans="3:3">
      <c r="C869" t="e">
        <f>SUM($C$1:C868)*2+C868+1</f>
        <v>#NUM!</v>
      </c>
    </row>
    <row r="870" spans="3:3">
      <c r="C870" t="e">
        <f>SUM($C$1:C869)*2+C869+1</f>
        <v>#NUM!</v>
      </c>
    </row>
    <row r="871" spans="3:3">
      <c r="C871" t="e">
        <f>SUM($C$1:C870)*2+C870+1</f>
        <v>#NUM!</v>
      </c>
    </row>
    <row r="872" spans="3:3">
      <c r="C872" t="e">
        <f>SUM($C$1:C871)*2+C871+1</f>
        <v>#NUM!</v>
      </c>
    </row>
    <row r="873" spans="3:3">
      <c r="C873" t="e">
        <f>SUM($C$1:C872)*2+C872+1</f>
        <v>#NUM!</v>
      </c>
    </row>
    <row r="874" spans="3:3">
      <c r="C874" t="e">
        <f>SUM($C$1:C873)*2+C873+1</f>
        <v>#NUM!</v>
      </c>
    </row>
    <row r="875" spans="3:3">
      <c r="C875" t="e">
        <f>SUM($C$1:C874)*2+C874+1</f>
        <v>#NUM!</v>
      </c>
    </row>
    <row r="876" spans="3:3">
      <c r="C876" t="e">
        <f>SUM($C$1:C875)*2+C875+1</f>
        <v>#NUM!</v>
      </c>
    </row>
    <row r="877" spans="3:3">
      <c r="C877" t="e">
        <f>SUM($C$1:C876)*2+C876+1</f>
        <v>#NUM!</v>
      </c>
    </row>
    <row r="878" spans="3:3">
      <c r="C878" t="e">
        <f>SUM($C$1:C877)*2+C877+1</f>
        <v>#NUM!</v>
      </c>
    </row>
    <row r="879" spans="3:3">
      <c r="C879" t="e">
        <f>SUM($C$1:C878)*2+C878+1</f>
        <v>#NUM!</v>
      </c>
    </row>
    <row r="880" spans="3:3">
      <c r="C880" t="e">
        <f>SUM($C$1:C879)*2+C879+1</f>
        <v>#NUM!</v>
      </c>
    </row>
    <row r="881" spans="3:3">
      <c r="C881" t="e">
        <f>SUM($C$1:C880)*2+C880+1</f>
        <v>#NUM!</v>
      </c>
    </row>
    <row r="882" spans="3:3">
      <c r="C882" t="e">
        <f>SUM($C$1:C881)*2+C881+1</f>
        <v>#NUM!</v>
      </c>
    </row>
    <row r="883" spans="3:3">
      <c r="C883" t="e">
        <f>SUM($C$1:C882)*2+C882+1</f>
        <v>#NUM!</v>
      </c>
    </row>
    <row r="884" spans="3:3">
      <c r="C884" t="e">
        <f>SUM($C$1:C883)*2+C883+1</f>
        <v>#NUM!</v>
      </c>
    </row>
    <row r="885" spans="3:3">
      <c r="C885" t="e">
        <f>SUM($C$1:C884)*2+C884+1</f>
        <v>#NUM!</v>
      </c>
    </row>
    <row r="886" spans="3:3">
      <c r="C886" t="e">
        <f>SUM($C$1:C885)*2+C885+1</f>
        <v>#NUM!</v>
      </c>
    </row>
    <row r="887" spans="3:3">
      <c r="C887" t="e">
        <f>SUM($C$1:C886)*2+C886+1</f>
        <v>#NUM!</v>
      </c>
    </row>
    <row r="888" spans="3:3">
      <c r="C888" t="e">
        <f>SUM($C$1:C887)*2+C887+1</f>
        <v>#NUM!</v>
      </c>
    </row>
    <row r="889" spans="3:3">
      <c r="C889" t="e">
        <f>SUM($C$1:C888)*2+C888+1</f>
        <v>#NUM!</v>
      </c>
    </row>
    <row r="890" spans="3:3">
      <c r="C890" t="e">
        <f>SUM($C$1:C889)*2+C889+1</f>
        <v>#NUM!</v>
      </c>
    </row>
    <row r="891" spans="3:3">
      <c r="C891" t="e">
        <f>SUM($C$1:C890)*2+C890+1</f>
        <v>#NUM!</v>
      </c>
    </row>
    <row r="892" spans="3:3">
      <c r="C892" t="e">
        <f>SUM($C$1:C891)*2+C891+1</f>
        <v>#NUM!</v>
      </c>
    </row>
    <row r="893" spans="3:3">
      <c r="C893" t="e">
        <f>SUM($C$1:C892)*2+C892+1</f>
        <v>#NUM!</v>
      </c>
    </row>
    <row r="894" spans="3:3">
      <c r="C894" t="e">
        <f>SUM($C$1:C893)*2+C893+1</f>
        <v>#NUM!</v>
      </c>
    </row>
    <row r="895" spans="3:3">
      <c r="C895" t="e">
        <f>SUM($C$1:C894)*2+C894+1</f>
        <v>#NUM!</v>
      </c>
    </row>
    <row r="896" spans="3:3">
      <c r="C896" t="e">
        <f>SUM($C$1:C895)*2+C895+1</f>
        <v>#NUM!</v>
      </c>
    </row>
    <row r="897" spans="3:3">
      <c r="C897" t="e">
        <f>SUM($C$1:C896)*2+C896+1</f>
        <v>#NUM!</v>
      </c>
    </row>
    <row r="898" spans="3:3">
      <c r="C898" t="e">
        <f>SUM($C$1:C897)*2+C897+1</f>
        <v>#NUM!</v>
      </c>
    </row>
    <row r="899" spans="3:3">
      <c r="C899" t="e">
        <f>SUM($C$1:C898)*2+C898+1</f>
        <v>#NUM!</v>
      </c>
    </row>
    <row r="900" spans="3:3">
      <c r="C900" t="e">
        <f>SUM($C$1:C899)*2+C899+1</f>
        <v>#NUM!</v>
      </c>
    </row>
    <row r="901" spans="3:3">
      <c r="C901" t="e">
        <f>SUM($C$1:C900)*2+C900+1</f>
        <v>#NUM!</v>
      </c>
    </row>
    <row r="902" spans="3:3">
      <c r="C902" t="e">
        <f>SUM($C$1:C901)*2+C901+1</f>
        <v>#NUM!</v>
      </c>
    </row>
    <row r="903" spans="3:3">
      <c r="C903" t="e">
        <f>SUM($C$1:C902)*2+C902+1</f>
        <v>#NUM!</v>
      </c>
    </row>
    <row r="904" spans="3:3">
      <c r="C904" t="e">
        <f>SUM($C$1:C903)*2+C903+1</f>
        <v>#NUM!</v>
      </c>
    </row>
    <row r="905" spans="3:3">
      <c r="C905" t="e">
        <f>SUM($C$1:C904)*2+C904+1</f>
        <v>#NUM!</v>
      </c>
    </row>
    <row r="906" spans="3:3">
      <c r="C906" t="e">
        <f>SUM($C$1:C905)*2+C905+1</f>
        <v>#NUM!</v>
      </c>
    </row>
    <row r="907" spans="3:3">
      <c r="C907" t="e">
        <f>SUM($C$1:C906)*2+C906+1</f>
        <v>#NUM!</v>
      </c>
    </row>
    <row r="908" spans="3:3">
      <c r="C908" t="e">
        <f>SUM($C$1:C907)*2+C907+1</f>
        <v>#NUM!</v>
      </c>
    </row>
    <row r="909" spans="3:3">
      <c r="C909" t="e">
        <f>SUM($C$1:C908)*2+C908+1</f>
        <v>#NUM!</v>
      </c>
    </row>
    <row r="910" spans="3:3">
      <c r="C910" t="e">
        <f>SUM($C$1:C909)*2+C909+1</f>
        <v>#NUM!</v>
      </c>
    </row>
    <row r="911" spans="3:3">
      <c r="C911" t="e">
        <f>SUM($C$1:C910)*2+C910+1</f>
        <v>#NUM!</v>
      </c>
    </row>
    <row r="912" spans="3:3">
      <c r="C912" t="e">
        <f>SUM($C$1:C911)*2+C911+1</f>
        <v>#NUM!</v>
      </c>
    </row>
    <row r="913" spans="3:3">
      <c r="C913" t="e">
        <f>SUM($C$1:C912)*2+C912+1</f>
        <v>#NUM!</v>
      </c>
    </row>
    <row r="914" spans="3:3">
      <c r="C914" t="e">
        <f>SUM($C$1:C913)*2+C913+1</f>
        <v>#NUM!</v>
      </c>
    </row>
    <row r="915" spans="3:3">
      <c r="C915" t="e">
        <f>SUM($C$1:C914)*2+C914+1</f>
        <v>#NUM!</v>
      </c>
    </row>
    <row r="916" spans="3:3">
      <c r="C916" t="e">
        <f>SUM($C$1:C915)*2+C915+1</f>
        <v>#NUM!</v>
      </c>
    </row>
    <row r="917" spans="3:3">
      <c r="C917" t="e">
        <f>SUM($C$1:C916)*2+C916+1</f>
        <v>#NUM!</v>
      </c>
    </row>
    <row r="918" spans="3:3">
      <c r="C918" t="e">
        <f>SUM($C$1:C917)*2+C917+1</f>
        <v>#NUM!</v>
      </c>
    </row>
    <row r="919" spans="3:3">
      <c r="C919" t="e">
        <f>SUM($C$1:C918)*2+C918+1</f>
        <v>#NUM!</v>
      </c>
    </row>
    <row r="920" spans="3:3">
      <c r="C920" t="e">
        <f>SUM($C$1:C919)*2+C919+1</f>
        <v>#NUM!</v>
      </c>
    </row>
    <row r="921" spans="3:3">
      <c r="C921" t="e">
        <f>SUM($C$1:C920)*2+C920+1</f>
        <v>#NUM!</v>
      </c>
    </row>
    <row r="922" spans="3:3">
      <c r="C922" t="e">
        <f>SUM($C$1:C921)*2+C921+1</f>
        <v>#NUM!</v>
      </c>
    </row>
    <row r="923" spans="3:3">
      <c r="C923" t="e">
        <f>SUM($C$1:C922)*2+C922+1</f>
        <v>#NUM!</v>
      </c>
    </row>
    <row r="924" spans="3:3">
      <c r="C924" t="e">
        <f>SUM($C$1:C923)*2+C923+1</f>
        <v>#NUM!</v>
      </c>
    </row>
    <row r="925" spans="3:3">
      <c r="C925" t="e">
        <f>SUM($C$1:C924)*2+C924+1</f>
        <v>#NUM!</v>
      </c>
    </row>
    <row r="926" spans="3:3">
      <c r="C926" t="e">
        <f>SUM($C$1:C925)*2+C925+1</f>
        <v>#NUM!</v>
      </c>
    </row>
    <row r="927" spans="3:3">
      <c r="C927" t="e">
        <f>SUM($C$1:C926)*2+C926+1</f>
        <v>#NUM!</v>
      </c>
    </row>
    <row r="928" spans="3:3">
      <c r="C928" t="e">
        <f>SUM($C$1:C927)*2+C927+1</f>
        <v>#NUM!</v>
      </c>
    </row>
    <row r="929" spans="3:3">
      <c r="C929" t="e">
        <f>SUM($C$1:C928)*2+C928+1</f>
        <v>#NUM!</v>
      </c>
    </row>
    <row r="930" spans="3:3">
      <c r="C930" t="e">
        <f>SUM($C$1:C929)*2+C929+1</f>
        <v>#NUM!</v>
      </c>
    </row>
    <row r="931" spans="3:3">
      <c r="C931" t="e">
        <f>SUM($C$1:C930)*2+C930+1</f>
        <v>#NUM!</v>
      </c>
    </row>
    <row r="932" spans="3:3">
      <c r="C932" t="e">
        <f>SUM($C$1:C931)*2+C931+1</f>
        <v>#NUM!</v>
      </c>
    </row>
    <row r="933" spans="3:3">
      <c r="C933" t="e">
        <f>SUM($C$1:C932)*2+C932+1</f>
        <v>#NUM!</v>
      </c>
    </row>
    <row r="934" spans="3:3">
      <c r="C934" t="e">
        <f>SUM($C$1:C933)*2+C933+1</f>
        <v>#NUM!</v>
      </c>
    </row>
    <row r="935" spans="3:3">
      <c r="C935" t="e">
        <f>SUM($C$1:C934)*2+C934+1</f>
        <v>#NUM!</v>
      </c>
    </row>
    <row r="936" spans="3:3">
      <c r="C936" t="e">
        <f>SUM($C$1:C935)*2+C935+1</f>
        <v>#NUM!</v>
      </c>
    </row>
    <row r="937" spans="3:3">
      <c r="C937" t="e">
        <f>SUM($C$1:C936)*2+C936+1</f>
        <v>#NUM!</v>
      </c>
    </row>
    <row r="938" spans="3:3">
      <c r="C938" t="e">
        <f>SUM($C$1:C937)*2+C937+1</f>
        <v>#NUM!</v>
      </c>
    </row>
    <row r="939" spans="3:3">
      <c r="C939" t="e">
        <f>SUM($C$1:C938)*2+C938+1</f>
        <v>#NUM!</v>
      </c>
    </row>
    <row r="940" spans="3:3">
      <c r="C940" t="e">
        <f>SUM($C$1:C939)*2+C939+1</f>
        <v>#NUM!</v>
      </c>
    </row>
    <row r="941" spans="3:3">
      <c r="C941" t="e">
        <f>SUM($C$1:C940)*2+C940+1</f>
        <v>#NUM!</v>
      </c>
    </row>
    <row r="942" spans="3:3">
      <c r="C942" t="e">
        <f>SUM($C$1:C941)*2+C941+1</f>
        <v>#NUM!</v>
      </c>
    </row>
    <row r="943" spans="3:3">
      <c r="C943" t="e">
        <f>SUM($C$1:C942)*2+C942+1</f>
        <v>#NUM!</v>
      </c>
    </row>
    <row r="944" spans="3:3">
      <c r="C944" t="e">
        <f>SUM($C$1:C943)*2+C943+1</f>
        <v>#NUM!</v>
      </c>
    </row>
    <row r="945" spans="3:3">
      <c r="C945" t="e">
        <f>SUM($C$1:C944)*2+C944+1</f>
        <v>#NUM!</v>
      </c>
    </row>
    <row r="946" spans="3:3">
      <c r="C946" t="e">
        <f>SUM($C$1:C945)*2+C945+1</f>
        <v>#NUM!</v>
      </c>
    </row>
    <row r="947" spans="3:3">
      <c r="C947" t="e">
        <f>SUM($C$1:C946)*2+C946+1</f>
        <v>#NUM!</v>
      </c>
    </row>
    <row r="948" spans="3:3">
      <c r="C948" t="e">
        <f>SUM($C$1:C947)*2+C947+1</f>
        <v>#NUM!</v>
      </c>
    </row>
    <row r="949" spans="3:3">
      <c r="C949" t="e">
        <f>SUM($C$1:C948)*2+C948+1</f>
        <v>#NUM!</v>
      </c>
    </row>
    <row r="950" spans="3:3">
      <c r="C950" t="e">
        <f>SUM($C$1:C949)*2+C949+1</f>
        <v>#NUM!</v>
      </c>
    </row>
    <row r="951" spans="3:3">
      <c r="C951" t="e">
        <f>SUM($C$1:C950)*2+C950+1</f>
        <v>#NUM!</v>
      </c>
    </row>
    <row r="952" spans="3:3">
      <c r="C952" t="e">
        <f>SUM($C$1:C951)*2+C951+1</f>
        <v>#NUM!</v>
      </c>
    </row>
    <row r="953" spans="3:3">
      <c r="C953" t="e">
        <f>SUM($C$1:C952)*2+C952+1</f>
        <v>#NUM!</v>
      </c>
    </row>
    <row r="954" spans="3:3">
      <c r="C954" t="e">
        <f>SUM($C$1:C953)*2+C953+1</f>
        <v>#NUM!</v>
      </c>
    </row>
    <row r="955" spans="3:3">
      <c r="C955" t="e">
        <f>SUM($C$1:C954)*2+C954+1</f>
        <v>#NUM!</v>
      </c>
    </row>
    <row r="956" spans="3:3">
      <c r="C956" t="e">
        <f>SUM($C$1:C955)*2+C955+1</f>
        <v>#NUM!</v>
      </c>
    </row>
    <row r="957" spans="3:3">
      <c r="C957" t="e">
        <f>SUM($C$1:C956)*2+C956+1</f>
        <v>#NUM!</v>
      </c>
    </row>
    <row r="958" spans="3:3">
      <c r="C958" t="e">
        <f>SUM($C$1:C957)*2+C957+1</f>
        <v>#NUM!</v>
      </c>
    </row>
    <row r="959" spans="3:3">
      <c r="C959" t="e">
        <f>SUM($C$1:C958)*2+C958+1</f>
        <v>#NUM!</v>
      </c>
    </row>
    <row r="960" spans="3:3">
      <c r="C960" t="e">
        <f>SUM($C$1:C959)*2+C959+1</f>
        <v>#NUM!</v>
      </c>
    </row>
    <row r="961" spans="3:3">
      <c r="C961" t="e">
        <f>SUM($C$1:C960)*2+C960+1</f>
        <v>#NUM!</v>
      </c>
    </row>
    <row r="962" spans="3:3">
      <c r="C962" t="e">
        <f>SUM($C$1:C961)*2+C961+1</f>
        <v>#NUM!</v>
      </c>
    </row>
    <row r="963" spans="3:3">
      <c r="C963" t="e">
        <f>SUM($C$1:C962)*2+C962+1</f>
        <v>#NUM!</v>
      </c>
    </row>
    <row r="964" spans="3:3">
      <c r="C964" t="e">
        <f>SUM($C$1:C963)*2+C963+1</f>
        <v>#NUM!</v>
      </c>
    </row>
    <row r="965" spans="3:3">
      <c r="C965" t="e">
        <f>SUM($C$1:C964)*2+C964+1</f>
        <v>#NUM!</v>
      </c>
    </row>
    <row r="966" spans="3:3">
      <c r="C966" t="e">
        <f>SUM($C$1:C965)*2+C965+1</f>
        <v>#NUM!</v>
      </c>
    </row>
    <row r="967" spans="3:3">
      <c r="C967" t="e">
        <f>SUM($C$1:C966)*2+C966+1</f>
        <v>#NUM!</v>
      </c>
    </row>
    <row r="968" spans="3:3">
      <c r="C968" t="e">
        <f>SUM($C$1:C967)*2+C967+1</f>
        <v>#NUM!</v>
      </c>
    </row>
    <row r="969" spans="3:3">
      <c r="C969" t="e">
        <f>SUM($C$1:C968)*2+C968+1</f>
        <v>#NUM!</v>
      </c>
    </row>
    <row r="970" spans="3:3">
      <c r="C970" t="e">
        <f>SUM($C$1:C969)*2+C969+1</f>
        <v>#NUM!</v>
      </c>
    </row>
    <row r="971" spans="3:3">
      <c r="C971" t="e">
        <f>SUM($C$1:C970)*2+C970+1</f>
        <v>#NUM!</v>
      </c>
    </row>
    <row r="972" spans="3:3">
      <c r="C972" t="e">
        <f>SUM($C$1:C971)*2+C971+1</f>
        <v>#NUM!</v>
      </c>
    </row>
    <row r="973" spans="3:3">
      <c r="C973" t="e">
        <f>SUM($C$1:C972)*2+C972+1</f>
        <v>#NUM!</v>
      </c>
    </row>
    <row r="974" spans="3:3">
      <c r="C974" t="e">
        <f>SUM($C$1:C973)*2+C973+1</f>
        <v>#NUM!</v>
      </c>
    </row>
    <row r="975" spans="3:3">
      <c r="C975" t="e">
        <f>SUM($C$1:C974)*2+C974+1</f>
        <v>#NUM!</v>
      </c>
    </row>
    <row r="976" spans="3:3">
      <c r="C976" t="e">
        <f>SUM($C$1:C975)*2+C975+1</f>
        <v>#NUM!</v>
      </c>
    </row>
    <row r="977" spans="3:3">
      <c r="C977" t="e">
        <f>SUM($C$1:C976)*2+C976+1</f>
        <v>#NUM!</v>
      </c>
    </row>
    <row r="978" spans="3:3">
      <c r="C978" t="e">
        <f>SUM($C$1:C977)*2+C977+1</f>
        <v>#NUM!</v>
      </c>
    </row>
    <row r="979" spans="3:3">
      <c r="C979" t="e">
        <f>SUM($C$1:C978)*2+C978+1</f>
        <v>#NUM!</v>
      </c>
    </row>
    <row r="980" spans="3:3">
      <c r="C980" t="e">
        <f>SUM($C$1:C979)*2+C979+1</f>
        <v>#NUM!</v>
      </c>
    </row>
    <row r="981" spans="3:3">
      <c r="C981" t="e">
        <f>SUM($C$1:C980)*2+C980+1</f>
        <v>#NUM!</v>
      </c>
    </row>
    <row r="982" spans="3:3">
      <c r="C982" t="e">
        <f>SUM($C$1:C981)*2+C981+1</f>
        <v>#NUM!</v>
      </c>
    </row>
    <row r="983" spans="3:3">
      <c r="C983" t="e">
        <f>SUM($C$1:C982)*2+C982+1</f>
        <v>#NUM!</v>
      </c>
    </row>
    <row r="984" spans="3:3">
      <c r="C984" t="e">
        <f>SUM($C$1:C983)*2+C983+1</f>
        <v>#NUM!</v>
      </c>
    </row>
    <row r="985" spans="3:3">
      <c r="C985" t="e">
        <f>SUM($C$1:C984)*2+C984+1</f>
        <v>#NUM!</v>
      </c>
    </row>
    <row r="986" spans="3:3">
      <c r="C986" t="e">
        <f>SUM($C$1:C985)*2+C985+1</f>
        <v>#NUM!</v>
      </c>
    </row>
    <row r="987" spans="3:3">
      <c r="C987" t="e">
        <f>SUM($C$1:C986)*2+C986+1</f>
        <v>#NUM!</v>
      </c>
    </row>
    <row r="988" spans="3:3">
      <c r="C988" t="e">
        <f>SUM($C$1:C987)*2+C987+1</f>
        <v>#NUM!</v>
      </c>
    </row>
    <row r="989" spans="3:3">
      <c r="C989" t="e">
        <f>SUM($C$1:C988)*2+C988+1</f>
        <v>#NUM!</v>
      </c>
    </row>
    <row r="990" spans="3:3">
      <c r="C990" t="e">
        <f>SUM($C$1:C989)*2+C989+1</f>
        <v>#NUM!</v>
      </c>
    </row>
    <row r="991" spans="3:3">
      <c r="C991" t="e">
        <f>SUM($C$1:C990)*2+C990+1</f>
        <v>#NUM!</v>
      </c>
    </row>
    <row r="992" spans="3:3">
      <c r="C992" t="e">
        <f>SUM($C$1:C991)*2+C991+1</f>
        <v>#NUM!</v>
      </c>
    </row>
    <row r="993" spans="3:3">
      <c r="C993" t="e">
        <f>SUM($C$1:C992)*2+C992+1</f>
        <v>#NUM!</v>
      </c>
    </row>
    <row r="994" spans="3:3">
      <c r="C994" t="e">
        <f>SUM($C$1:C993)*2+C993+1</f>
        <v>#NUM!</v>
      </c>
    </row>
    <row r="995" spans="3:3">
      <c r="C995" t="e">
        <f>SUM($C$1:C994)*2+C994+1</f>
        <v>#NUM!</v>
      </c>
    </row>
    <row r="996" spans="3:3">
      <c r="C996" t="e">
        <f>SUM($C$1:C995)*2+C995+1</f>
        <v>#NUM!</v>
      </c>
    </row>
    <row r="997" spans="3:3">
      <c r="C997" t="e">
        <f>SUM($C$1:C996)*2+C996+1</f>
        <v>#NUM!</v>
      </c>
    </row>
    <row r="998" spans="3:3">
      <c r="C998" t="e">
        <f>SUM($C$1:C997)*2+C997+1</f>
        <v>#NUM!</v>
      </c>
    </row>
    <row r="999" spans="3:3">
      <c r="C999" t="e">
        <f>SUM($C$1:C998)*2+C998+1</f>
        <v>#NUM!</v>
      </c>
    </row>
    <row r="1000" spans="3:3">
      <c r="C1000" t="e">
        <f>SUM($C$1:C999)*2+C999+1</f>
        <v>#NUM!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Arkusz1</vt:lpstr>
      <vt:lpstr>Arkusz2</vt:lpstr>
      <vt:lpstr>Arkusz3</vt:lpstr>
      <vt:lpstr>Arkusz4</vt:lpstr>
      <vt:lpstr>Arkusz5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</dc:creator>
  <cp:lastModifiedBy>Arkadius</cp:lastModifiedBy>
  <dcterms:created xsi:type="dcterms:W3CDTF">2016-07-03T16:38:15Z</dcterms:created>
  <dcterms:modified xsi:type="dcterms:W3CDTF">2016-07-07T17:43:50Z</dcterms:modified>
</cp:coreProperties>
</file>