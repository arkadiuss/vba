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worksheets/sheet6.xml" ContentType="application/vnd.openxmlformats-officedocument.spreadsheetml.worksheet+xml"/>
  <Default Extension="emf" ContentType="image/x-emf"/>
  <Override PartName="/xl/activeX/activeX6.xml" ContentType="application/vnd.ms-office.activeX+xml"/>
  <Default Extension="jpeg" ContentType="image/jpeg"/>
  <Override PartName="/xl/activeX/activeX11.bin" ContentType="application/vnd.ms-office.activeX"/>
  <Override PartName="/xl/activeX/activeX18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0" yWindow="0" windowWidth="15360" windowHeight="7755" activeTab="6"/>
  </bookViews>
  <sheets>
    <sheet name="menu" sheetId="1" r:id="rId1"/>
    <sheet name="symetric" sheetId="3" r:id="rId2"/>
    <sheet name="asymetric" sheetId="4" r:id="rId3"/>
    <sheet name="data" sheetId="5" r:id="rId4"/>
    <sheet name="Arkusz2" sheetId="2" r:id="rId5"/>
    <sheet name="visualizationCaesar" sheetId="6" r:id="rId6"/>
    <sheet name="visualizationPlayfair" sheetId="7" r:id="rId7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2"/>
  <c r="I8"/>
  <c r="K14"/>
  <c r="I9"/>
  <c r="J17"/>
  <c r="K16"/>
  <c r="K15"/>
  <c r="J15"/>
  <c r="J13"/>
  <c r="K17"/>
  <c r="J5"/>
  <c r="J4"/>
  <c r="J18"/>
  <c r="J2"/>
  <c r="J1"/>
  <c r="K1" s="1"/>
  <c r="J3"/>
  <c r="K3" s="1"/>
  <c r="K12"/>
  <c r="K13"/>
  <c r="J16"/>
  <c r="J14"/>
  <c r="K8"/>
  <c r="K4"/>
  <c r="I10"/>
  <c r="K2"/>
  <c r="K18"/>
  <c r="K5"/>
</calcChain>
</file>

<file path=xl/sharedStrings.xml><?xml version="1.0" encoding="utf-8"?>
<sst xmlns="http://schemas.openxmlformats.org/spreadsheetml/2006/main" count="146" uniqueCount="57">
  <si>
    <t>m</t>
  </si>
  <si>
    <t>a</t>
  </si>
  <si>
    <t>r</t>
  </si>
  <si>
    <t>z</t>
  </si>
  <si>
    <t>n</t>
  </si>
  <si>
    <t>d</t>
  </si>
  <si>
    <t>e</t>
  </si>
  <si>
    <t>s</t>
  </si>
  <si>
    <t>t</t>
  </si>
  <si>
    <t>l</t>
  </si>
  <si>
    <t>o</t>
  </si>
  <si>
    <t>i</t>
  </si>
  <si>
    <t>u</t>
  </si>
  <si>
    <t>c</t>
  </si>
  <si>
    <t>h</t>
  </si>
  <si>
    <t>w</t>
  </si>
  <si>
    <t>y</t>
  </si>
  <si>
    <t>b</t>
  </si>
  <si>
    <t>f</t>
  </si>
  <si>
    <t>g</t>
  </si>
  <si>
    <t>k</t>
  </si>
  <si>
    <t>p</t>
  </si>
  <si>
    <t>q</t>
  </si>
  <si>
    <t>v</t>
  </si>
  <si>
    <t>x</t>
  </si>
  <si>
    <t>wikipediajestnajlepsza</t>
  </si>
  <si>
    <t>szyfr</t>
  </si>
  <si>
    <t>student</t>
  </si>
  <si>
    <t>magister</t>
  </si>
  <si>
    <t>alejuzniema</t>
  </si>
  <si>
    <t>alamialakotaprzezdwalata</t>
  </si>
  <si>
    <t>nicmnieniepokona</t>
  </si>
  <si>
    <t>hahaha</t>
  </si>
  <si>
    <t>hidethegoldinthetreestump</t>
  </si>
  <si>
    <t>playfairexample</t>
  </si>
  <si>
    <t>combo caesar</t>
  </si>
  <si>
    <t>szyfruj</t>
  </si>
  <si>
    <t>deszyfruj</t>
  </si>
  <si>
    <t>Szyfrowanie</t>
  </si>
  <si>
    <t>to-do</t>
  </si>
  <si>
    <t>rsa zamiana tekstu na liczby</t>
  </si>
  <si>
    <t>opisy</t>
  </si>
  <si>
    <t>wygląd</t>
  </si>
  <si>
    <t>przypisy ograniczające (sp[rawdzanie pól?)</t>
  </si>
  <si>
    <t>Kryptografia asymetryczna</t>
  </si>
  <si>
    <t>Kryptografia symetryczna</t>
  </si>
  <si>
    <t>W tym rodzaju kryptografii wykorzystujemy jeden klucz zarówno do szyfrowania jak i deszyfrowania (można stosować rózne klucze ale tylko wtedy, gdy jest możliwe wyznaczenie klucza szyfrującego z deszyfrującego i odwrotnie). To oznacza, że obie strony podczas komunikacji muszą znać ten klucz.</t>
  </si>
  <si>
    <t>Przykłady</t>
  </si>
  <si>
    <t xml:space="preserve">W kryptografii asymetrycznej wykorzystujemy dwa klucze - publiczny i prywatny. Jeśli chcemy wysłać do kogoś wiadomość szyfrujemy ją za pomocą klucza publicznego i wysyłamy. Osoba ta po otrzymaniu takiej wiadomości deszyfruje ją za pomocą swojego klucza prywatnego. Algorytmy w tej kryptografii stosują własności matematyczne, które są łatwe do wykowania w jedną stronę i trudne do odtworzenia (np. pomnożenie liczb jest proste, ale rozkład danej liczby na czynniki pierwsze już trudny)  </t>
  </si>
  <si>
    <t>Przykład</t>
  </si>
  <si>
    <t>klucz</t>
  </si>
  <si>
    <t>tekst</t>
  </si>
  <si>
    <t xml:space="preserve"> </t>
  </si>
  <si>
    <t>tekst jawny</t>
  </si>
  <si>
    <t>tekst ukryty</t>
  </si>
  <si>
    <t>Tworzenie alfabetu</t>
  </si>
  <si>
    <t>j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</si>
</sst>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charset val="238"/>
      <scheme val="minor"/>
    </font>
    <font>
      <sz val="11"/>
      <color rgb="FF252525"/>
      <name val="Arial"/>
      <family val="2"/>
      <charset val="238"/>
    </font>
    <font>
      <b/>
      <sz val="36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6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indexed="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3" borderId="0" xfId="0" applyFill="1" applyAlignment="1"/>
    <xf numFmtId="0" fontId="0" fillId="0" borderId="0" xfId="0" applyFill="1" applyAlignment="1"/>
    <xf numFmtId="0" fontId="0" fillId="2" borderId="0" xfId="0" applyFill="1" applyAlignment="1">
      <alignment horizontal="center" vertical="center"/>
    </xf>
    <xf numFmtId="0" fontId="0" fillId="2" borderId="0" xfId="0" applyFill="1" applyAlignment="1"/>
    <xf numFmtId="0" fontId="7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8</xdr:row>
      <xdr:rowOff>9525</xdr:rowOff>
    </xdr:from>
    <xdr:to>
      <xdr:col>14</xdr:col>
      <xdr:colOff>600075</xdr:colOff>
      <xdr:row>26</xdr:row>
      <xdr:rowOff>0</xdr:rowOff>
    </xdr:to>
    <xdr:pic>
      <xdr:nvPicPr>
        <xdr:cNvPr id="2053" name="Picture 5" descr="http://www.cryptography.ovh.org/filmy/symetryczne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1533525"/>
          <a:ext cx="9077325" cy="3419475"/>
        </a:xfrm>
        <a:prstGeom prst="rect">
          <a:avLst/>
        </a:prstGeom>
        <a:noFill/>
      </xdr:spPr>
    </xdr:pic>
    <xdr:clientData/>
  </xdr:twoCellAnchor>
  <xdr:twoCellAnchor>
    <xdr:from>
      <xdr:col>12</xdr:col>
      <xdr:colOff>485776</xdr:colOff>
      <xdr:row>24</xdr:row>
      <xdr:rowOff>161926</xdr:rowOff>
    </xdr:from>
    <xdr:to>
      <xdr:col>15</xdr:col>
      <xdr:colOff>9526</xdr:colOff>
      <xdr:row>26</xdr:row>
      <xdr:rowOff>9525</xdr:rowOff>
    </xdr:to>
    <xdr:sp macro="" textlink="">
      <xdr:nvSpPr>
        <xdr:cNvPr id="3" name="pole tekstowe 2"/>
        <xdr:cNvSpPr txBox="1"/>
      </xdr:nvSpPr>
      <xdr:spPr>
        <a:xfrm>
          <a:off x="7800976" y="4733926"/>
          <a:ext cx="13525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l-PL" sz="800" b="0" i="0" u="none" strike="noStrike">
              <a:solidFill>
                <a:schemeClr val="dk1"/>
              </a:solidFill>
              <a:latin typeface="+mn-lt"/>
              <a:ea typeface="+mn-ea"/>
              <a:cs typeface="+mn-cs"/>
              <a:hlinkClick xmlns:r="http://schemas.openxmlformats.org/officeDocument/2006/relationships" r:id=""/>
            </a:rPr>
            <a:t>www.cryptography.ovh.org</a:t>
          </a:r>
          <a:endParaRPr lang="pl-PL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</xdr:colOff>
      <xdr:row>8</xdr:row>
      <xdr:rowOff>9525</xdr:rowOff>
    </xdr:from>
    <xdr:to>
      <xdr:col>14</xdr:col>
      <xdr:colOff>600074</xdr:colOff>
      <xdr:row>25</xdr:row>
      <xdr:rowOff>180975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49" y="1533525"/>
          <a:ext cx="9115425" cy="3409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control" Target="../activeX/activeX14.xml"/><Relationship Id="rId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control" Target="../activeX/activeX18.xml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E7:L14"/>
  <sheetViews>
    <sheetView workbookViewId="0">
      <selection activeCell="M19" sqref="M19"/>
    </sheetView>
  </sheetViews>
  <sheetFormatPr defaultRowHeight="15"/>
  <sheetData>
    <row r="7" spans="5:12">
      <c r="E7" s="5" t="s">
        <v>38</v>
      </c>
      <c r="F7" s="6"/>
      <c r="G7" s="6"/>
      <c r="H7" s="6"/>
      <c r="I7" s="6"/>
      <c r="J7" s="6"/>
      <c r="K7" s="6"/>
      <c r="L7" s="6"/>
    </row>
    <row r="8" spans="5:12">
      <c r="E8" s="6"/>
      <c r="F8" s="6"/>
      <c r="G8" s="6"/>
      <c r="H8" s="6"/>
      <c r="I8" s="6"/>
      <c r="J8" s="6"/>
      <c r="K8" s="6"/>
      <c r="L8" s="6"/>
    </row>
    <row r="9" spans="5:12">
      <c r="E9" s="6"/>
      <c r="F9" s="6"/>
      <c r="G9" s="6"/>
      <c r="H9" s="6"/>
      <c r="I9" s="6"/>
      <c r="J9" s="6"/>
      <c r="K9" s="6"/>
      <c r="L9" s="6"/>
    </row>
    <row r="10" spans="5:12">
      <c r="E10" s="6"/>
      <c r="F10" s="6"/>
      <c r="G10" s="6"/>
      <c r="H10" s="6"/>
      <c r="I10" s="6"/>
      <c r="J10" s="6"/>
      <c r="K10" s="6"/>
      <c r="L10" s="6"/>
    </row>
    <row r="11" spans="5:12">
      <c r="E11" s="6"/>
      <c r="F11" s="6"/>
      <c r="G11" s="6"/>
      <c r="H11" s="6"/>
      <c r="I11" s="6"/>
      <c r="J11" s="6"/>
      <c r="K11" s="6"/>
      <c r="L11" s="6"/>
    </row>
    <row r="12" spans="5:12">
      <c r="E12" s="6"/>
      <c r="F12" s="6"/>
      <c r="G12" s="6"/>
      <c r="H12" s="6"/>
      <c r="I12" s="6"/>
      <c r="J12" s="6"/>
      <c r="K12" s="6"/>
      <c r="L12" s="6"/>
    </row>
    <row r="13" spans="5:12">
      <c r="E13" s="6"/>
      <c r="F13" s="6"/>
      <c r="G13" s="6"/>
      <c r="H13" s="6"/>
      <c r="I13" s="6"/>
      <c r="J13" s="6"/>
      <c r="K13" s="6"/>
      <c r="L13" s="6"/>
    </row>
    <row r="14" spans="5:12">
      <c r="E14" s="6"/>
      <c r="F14" s="6"/>
      <c r="G14" s="6"/>
      <c r="H14" s="6"/>
      <c r="I14" s="6"/>
      <c r="J14" s="6"/>
      <c r="K14" s="6"/>
      <c r="L14" s="6"/>
    </row>
  </sheetData>
  <mergeCells count="1">
    <mergeCell ref="E7:L14"/>
  </mergeCells>
  <pageMargins left="0.7" right="0.7" top="0.75" bottom="0.75" header="0.3" footer="0.3"/>
  <pageSetup paperSize="9" orientation="portrait" horizontalDpi="0" verticalDpi="0" r:id="rId1"/>
  <legacyDrawing r:id="rId2"/>
  <controls>
    <control shapeId="1027" r:id="rId3" name="CommandButton1"/>
    <control shapeId="1028" r:id="rId4" name="CommandButton2"/>
    <control shapeId="1029" r:id="rId5" name="CommandButton3"/>
    <control shapeId="1030" r:id="rId6" name="CommandButton4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3"/>
  <dimension ref="A3:O28"/>
  <sheetViews>
    <sheetView workbookViewId="0">
      <selection activeCell="R17" sqref="R17"/>
    </sheetView>
  </sheetViews>
  <sheetFormatPr defaultRowHeight="15"/>
  <sheetData>
    <row r="3" spans="1:15">
      <c r="A3" s="7" t="s">
        <v>45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15">
      <c r="A5" s="9" t="s">
        <v>46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27" spans="1:15">
      <c r="A27" s="7" t="s">
        <v>47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</sheetData>
  <mergeCells count="3">
    <mergeCell ref="A3:O4"/>
    <mergeCell ref="A5:O8"/>
    <mergeCell ref="A27:O28"/>
  </mergeCells>
  <pageMargins left="0.7" right="0.7" top="0.75" bottom="0.75" header="0.3" footer="0.3"/>
  <drawing r:id="rId1"/>
  <legacyDrawing r:id="rId2"/>
  <controls>
    <control shapeId="2052" r:id="rId3" name="CommandButton2"/>
    <control shapeId="2051" r:id="rId4" name="CommandButton1"/>
    <control shapeId="2049" r:id="rId5" name="caesarB"/>
    <control shapeId="2050" r:id="rId6" name="playfairB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3:O28"/>
  <sheetViews>
    <sheetView workbookViewId="0">
      <selection activeCell="P23" sqref="P23"/>
    </sheetView>
  </sheetViews>
  <sheetFormatPr defaultRowHeight="15"/>
  <sheetData>
    <row r="3" spans="1:15">
      <c r="A3" s="7" t="s">
        <v>44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>
      <c r="A5" s="9" t="s">
        <v>48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27" spans="1:15">
      <c r="A27" s="7" t="s">
        <v>49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</row>
  </sheetData>
  <mergeCells count="3">
    <mergeCell ref="A3:O4"/>
    <mergeCell ref="A5:O8"/>
    <mergeCell ref="A27:O28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control shapeId="3075" r:id="rId4" name="CommandButton3"/>
    <control shapeId="3074" r:id="rId5" name="CommandButton2"/>
    <control shapeId="3073" r:id="rId6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5"/>
  <sheetViews>
    <sheetView workbookViewId="0">
      <selection activeCell="F13" sqref="F13"/>
    </sheetView>
  </sheetViews>
  <sheetFormatPr defaultRowHeight="15"/>
  <cols>
    <col min="1" max="1" width="16.7109375" customWidth="1"/>
    <col min="5" max="5" width="27.7109375" customWidth="1"/>
  </cols>
  <sheetData>
    <row r="1" spans="1:5">
      <c r="A1" t="s">
        <v>35</v>
      </c>
      <c r="E1" t="s">
        <v>39</v>
      </c>
    </row>
    <row r="2" spans="1:5">
      <c r="A2" t="s">
        <v>36</v>
      </c>
      <c r="E2" t="s">
        <v>40</v>
      </c>
    </row>
    <row r="3" spans="1:5">
      <c r="A3" t="s">
        <v>37</v>
      </c>
      <c r="E3" t="s">
        <v>41</v>
      </c>
    </row>
    <row r="4" spans="1:5">
      <c r="E4" t="s">
        <v>42</v>
      </c>
    </row>
    <row r="5" spans="1:5">
      <c r="E5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L18"/>
  <sheetViews>
    <sheetView topLeftCell="A4" workbookViewId="0">
      <selection activeCell="H26" sqref="H26"/>
    </sheetView>
  </sheetViews>
  <sheetFormatPr defaultRowHeight="15"/>
  <cols>
    <col min="1" max="1" width="3.140625" customWidth="1"/>
    <col min="2" max="2" width="3.5703125" customWidth="1"/>
    <col min="3" max="3" width="5.140625" customWidth="1"/>
    <col min="4" max="4" width="3.28515625" customWidth="1"/>
    <col min="5" max="5" width="3.140625" customWidth="1"/>
    <col min="8" max="8" width="27.42578125" customWidth="1"/>
    <col min="9" max="9" width="16.140625" customWidth="1"/>
    <col min="10" max="10" width="28.7109375" customWidth="1"/>
    <col min="11" max="11" width="27" customWidth="1"/>
  </cols>
  <sheetData>
    <row r="1" spans="1:12">
      <c r="A1" t="s">
        <v>0</v>
      </c>
      <c r="B1" t="s">
        <v>1</v>
      </c>
      <c r="C1" t="s">
        <v>19</v>
      </c>
      <c r="D1" t="s">
        <v>11</v>
      </c>
      <c r="E1" t="s">
        <v>7</v>
      </c>
      <c r="H1" t="s">
        <v>27</v>
      </c>
      <c r="I1" t="s">
        <v>28</v>
      </c>
      <c r="J1" t="str">
        <f>encryptPlayfair(H1,I1)</f>
        <v>mcnltorv</v>
      </c>
      <c r="K1" t="str">
        <f>decryptPlayfair(J1,I1)</f>
        <v>studentx</v>
      </c>
    </row>
    <row r="2" spans="1:12">
      <c r="A2" t="s">
        <v>8</v>
      </c>
      <c r="B2" t="s">
        <v>6</v>
      </c>
      <c r="C2" t="s">
        <v>2</v>
      </c>
      <c r="D2" t="s">
        <v>17</v>
      </c>
      <c r="E2" t="s">
        <v>13</v>
      </c>
      <c r="H2" t="s">
        <v>25</v>
      </c>
      <c r="I2" t="s">
        <v>26</v>
      </c>
      <c r="J2" t="str">
        <f>encryptPlayfair(H2,I2)</f>
        <v>vklkqdckcgarumcgqlmfsb</v>
      </c>
      <c r="K2" t="str">
        <f>decryptPlayfair(J2,I2)</f>
        <v>wikipediaiestnailepsza</v>
      </c>
    </row>
    <row r="3" spans="1:12">
      <c r="A3" t="s">
        <v>5</v>
      </c>
      <c r="B3" t="s">
        <v>18</v>
      </c>
      <c r="C3" t="s">
        <v>14</v>
      </c>
      <c r="D3" t="s">
        <v>20</v>
      </c>
      <c r="E3" t="s">
        <v>9</v>
      </c>
      <c r="H3" t="s">
        <v>30</v>
      </c>
      <c r="I3" t="s">
        <v>29</v>
      </c>
      <c r="J3" t="str">
        <f>encryptPlayfair(H3,I3)</f>
        <v>leezuleldsazqsmadoteelaz</v>
      </c>
      <c r="K3" t="str">
        <f>decryptPlayfair(J3,I3)</f>
        <v>alamialakotaprzezdwalata</v>
      </c>
    </row>
    <row r="4" spans="1:12">
      <c r="A4" t="s">
        <v>4</v>
      </c>
      <c r="B4" t="s">
        <v>10</v>
      </c>
      <c r="C4" t="s">
        <v>21</v>
      </c>
      <c r="D4" t="s">
        <v>22</v>
      </c>
      <c r="E4" t="s">
        <v>12</v>
      </c>
      <c r="H4" t="s">
        <v>31</v>
      </c>
      <c r="I4" t="s">
        <v>32</v>
      </c>
      <c r="J4" t="str">
        <f>encryptPlayfair(H4,I4)</f>
        <v>ogaoogglkflpipmb</v>
      </c>
      <c r="K4" t="str">
        <f>decryptPlayfair(J4,I4)</f>
        <v>nicmnieniepokona</v>
      </c>
    </row>
    <row r="5" spans="1:12">
      <c r="A5" t="s">
        <v>23</v>
      </c>
      <c r="B5" t="s">
        <v>15</v>
      </c>
      <c r="C5" t="s">
        <v>24</v>
      </c>
      <c r="D5" t="s">
        <v>16</v>
      </c>
      <c r="E5" t="s">
        <v>3</v>
      </c>
      <c r="H5" s="1" t="s">
        <v>33</v>
      </c>
      <c r="I5" t="s">
        <v>34</v>
      </c>
      <c r="J5" t="str">
        <f>encryptPlayfair(H5,I5)</f>
        <v>bmodzbxdnabekudmuixxkzzryi</v>
      </c>
      <c r="K5" t="str">
        <f>decryptPlayfair(J5,I5)</f>
        <v>hidethegoldinthetreestumpx</v>
      </c>
    </row>
    <row r="6" spans="1:12">
      <c r="C6">
        <v>287</v>
      </c>
    </row>
    <row r="8" spans="1:12">
      <c r="D8">
        <v>43</v>
      </c>
      <c r="H8">
        <v>12</v>
      </c>
      <c r="I8">
        <f>euler(H8)</f>
        <v>4</v>
      </c>
      <c r="K8">
        <f>euler(120)</f>
        <v>32</v>
      </c>
    </row>
    <row r="9" spans="1:12">
      <c r="H9">
        <v>2006</v>
      </c>
      <c r="I9">
        <f>euler(H9)</f>
        <v>928</v>
      </c>
    </row>
    <row r="10" spans="1:12">
      <c r="A10">
        <v>1</v>
      </c>
      <c r="B10">
        <v>8</v>
      </c>
      <c r="C10">
        <v>9</v>
      </c>
      <c r="D10">
        <v>10</v>
      </c>
      <c r="E10">
        <v>6</v>
      </c>
      <c r="H10">
        <v>1980</v>
      </c>
      <c r="I10">
        <f>euler(H10)</f>
        <v>480</v>
      </c>
    </row>
    <row r="11" spans="1:12">
      <c r="A11">
        <v>11</v>
      </c>
      <c r="B11">
        <v>2</v>
      </c>
      <c r="C11">
        <v>12</v>
      </c>
      <c r="D11">
        <v>3</v>
      </c>
      <c r="E11">
        <v>3</v>
      </c>
      <c r="J11">
        <v>283</v>
      </c>
      <c r="K11">
        <v>233</v>
      </c>
      <c r="L11">
        <v>523</v>
      </c>
    </row>
    <row r="12" spans="1:12">
      <c r="A12">
        <v>13</v>
      </c>
      <c r="B12">
        <v>14</v>
      </c>
      <c r="C12">
        <v>0</v>
      </c>
      <c r="D12">
        <v>15</v>
      </c>
      <c r="E12">
        <v>16</v>
      </c>
      <c r="I12">
        <v>50</v>
      </c>
      <c r="J12">
        <f>encryptRSA(I12,$J$11,$K$11,$L$11)</f>
        <v>18124</v>
      </c>
      <c r="K12" t="e">
        <f>decryptRSA(J12,$J$11,$K$11)</f>
        <v>#VALUE!</v>
      </c>
    </row>
    <row r="13" spans="1:12">
      <c r="A13">
        <v>17</v>
      </c>
      <c r="B13">
        <v>18</v>
      </c>
      <c r="C13">
        <v>7</v>
      </c>
      <c r="D13">
        <v>4</v>
      </c>
      <c r="E13">
        <v>5</v>
      </c>
      <c r="I13">
        <v>123</v>
      </c>
      <c r="J13">
        <f t="shared" ref="J13:J18" si="0">encryptRSA(I13,$J$11,$K$11,$L$11)</f>
        <v>17818</v>
      </c>
      <c r="K13" t="e">
        <f t="shared" ref="K13:K18" si="1">decryptRSA(J13,$J$11,$K$11)</f>
        <v>#VALUE!</v>
      </c>
    </row>
    <row r="14" spans="1:12">
      <c r="A14">
        <v>19</v>
      </c>
      <c r="B14">
        <v>20</v>
      </c>
      <c r="C14">
        <v>21</v>
      </c>
      <c r="D14">
        <v>22</v>
      </c>
      <c r="E14">
        <v>23</v>
      </c>
      <c r="I14">
        <v>43</v>
      </c>
      <c r="J14">
        <f t="shared" si="0"/>
        <v>28327</v>
      </c>
      <c r="K14" t="e">
        <f t="shared" si="1"/>
        <v>#VALUE!</v>
      </c>
    </row>
    <row r="15" spans="1:12">
      <c r="I15">
        <v>43</v>
      </c>
      <c r="J15">
        <f t="shared" si="0"/>
        <v>28327</v>
      </c>
      <c r="K15" t="e">
        <f>decryptRSA(J15,$J$11,$K$11)</f>
        <v>#VALUE!</v>
      </c>
    </row>
    <row r="16" spans="1:12">
      <c r="I16">
        <v>12</v>
      </c>
      <c r="J16">
        <f t="shared" si="0"/>
        <v>63706</v>
      </c>
      <c r="K16" t="e">
        <f>decryptRSA(J16,$J$11,$K$11)</f>
        <v>#VALUE!</v>
      </c>
    </row>
    <row r="17" spans="9:11">
      <c r="I17">
        <v>31</v>
      </c>
      <c r="J17">
        <f>encryptRSA(I17,$J$11,$K$11,$L$11)</f>
        <v>37482</v>
      </c>
      <c r="K17" t="e">
        <f t="shared" si="1"/>
        <v>#VALUE!</v>
      </c>
    </row>
    <row r="18" spans="9:11">
      <c r="I18">
        <v>4</v>
      </c>
      <c r="J18">
        <f t="shared" si="0"/>
        <v>12586</v>
      </c>
      <c r="K18" t="e">
        <f t="shared" si="1"/>
        <v>#VALUE!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Z11"/>
  <sheetViews>
    <sheetView showGridLines="0" workbookViewId="0">
      <selection activeCell="A11" sqref="A11:H11"/>
    </sheetView>
  </sheetViews>
  <sheetFormatPr defaultColWidth="2.140625" defaultRowHeight="15"/>
  <sheetData>
    <row r="1" spans="1:26">
      <c r="A1" s="13" t="s">
        <v>50</v>
      </c>
      <c r="B1" s="14"/>
      <c r="C1" s="14"/>
      <c r="D1" s="14"/>
      <c r="E1" s="14"/>
    </row>
    <row r="2" spans="1:26">
      <c r="A2" s="13"/>
      <c r="B2" s="14"/>
      <c r="C2" s="14"/>
      <c r="D2" s="14"/>
      <c r="E2" s="14"/>
    </row>
    <row r="3" spans="1:26">
      <c r="A3" s="13" t="s">
        <v>51</v>
      </c>
      <c r="B3" s="14"/>
      <c r="C3" s="14"/>
      <c r="D3" s="14"/>
      <c r="E3" s="14"/>
    </row>
    <row r="4" spans="1:26">
      <c r="A4" s="13"/>
      <c r="B4" s="14"/>
      <c r="C4" s="14"/>
      <c r="D4" s="14"/>
      <c r="E4" s="14"/>
    </row>
    <row r="7" spans="1:26">
      <c r="A7" s="14" t="s">
        <v>53</v>
      </c>
      <c r="B7" s="14"/>
      <c r="C7" s="14"/>
      <c r="D7" s="14"/>
      <c r="E7" s="14"/>
      <c r="F7" s="14"/>
      <c r="G7" s="14"/>
      <c r="H7" s="14"/>
      <c r="I7" s="2" t="s">
        <v>1</v>
      </c>
      <c r="J7" s="2" t="s">
        <v>9</v>
      </c>
      <c r="K7" s="2" t="s">
        <v>1</v>
      </c>
      <c r="L7" s="2" t="s">
        <v>52</v>
      </c>
      <c r="M7" s="2" t="s">
        <v>0</v>
      </c>
      <c r="N7" s="2" t="s">
        <v>1</v>
      </c>
      <c r="O7" s="2" t="s">
        <v>52</v>
      </c>
      <c r="P7" s="2" t="s">
        <v>20</v>
      </c>
      <c r="Q7" s="2" t="s">
        <v>10</v>
      </c>
      <c r="R7" s="2" t="s">
        <v>8</v>
      </c>
      <c r="S7" s="2" t="s">
        <v>6</v>
      </c>
      <c r="T7" s="2" t="s">
        <v>52</v>
      </c>
      <c r="U7" s="2" t="s">
        <v>1</v>
      </c>
      <c r="V7" s="2" t="s">
        <v>0</v>
      </c>
      <c r="W7" s="2"/>
      <c r="X7" s="2"/>
      <c r="Y7" s="2"/>
      <c r="Z7" s="2"/>
    </row>
    <row r="8" spans="1:26" s="4" customFormat="1" ht="12" customHeight="1"/>
    <row r="9" spans="1:26">
      <c r="A9" s="14" t="s">
        <v>54</v>
      </c>
      <c r="B9" s="14"/>
      <c r="C9" s="14"/>
      <c r="D9" s="14"/>
      <c r="E9" s="14"/>
      <c r="F9" s="14"/>
      <c r="G9" s="14"/>
      <c r="H9" s="14"/>
      <c r="I9" s="2" t="s">
        <v>20</v>
      </c>
      <c r="J9" s="2" t="s">
        <v>23</v>
      </c>
      <c r="K9" s="2" t="s">
        <v>20</v>
      </c>
      <c r="L9" s="2" t="s">
        <v>52</v>
      </c>
      <c r="M9" s="2" t="s">
        <v>15</v>
      </c>
      <c r="N9" s="2" t="s">
        <v>20</v>
      </c>
      <c r="O9" s="2" t="s">
        <v>52</v>
      </c>
      <c r="P9" s="2" t="s">
        <v>12</v>
      </c>
      <c r="Q9" s="2" t="s">
        <v>16</v>
      </c>
      <c r="R9" s="2" t="s">
        <v>5</v>
      </c>
      <c r="S9" s="2" t="s">
        <v>10</v>
      </c>
      <c r="T9" s="2" t="s">
        <v>52</v>
      </c>
      <c r="U9" s="2" t="s">
        <v>20</v>
      </c>
      <c r="V9" s="2" t="s">
        <v>15</v>
      </c>
      <c r="W9" s="2"/>
      <c r="X9" s="2"/>
      <c r="Y9" s="2"/>
      <c r="Z9" s="2"/>
    </row>
    <row r="11" spans="1:26">
      <c r="A11" s="11" t="s">
        <v>53</v>
      </c>
      <c r="B11" s="12"/>
      <c r="C11" s="12"/>
      <c r="D11" s="12"/>
      <c r="E11" s="12"/>
      <c r="F11" s="12"/>
      <c r="G11" s="12"/>
      <c r="H11" s="12"/>
      <c r="I11" s="2" t="s">
        <v>1</v>
      </c>
      <c r="J11" s="2" t="s">
        <v>9</v>
      </c>
      <c r="K11" s="2" t="s">
        <v>1</v>
      </c>
      <c r="L11" s="2" t="s">
        <v>52</v>
      </c>
      <c r="M11" s="2" t="s">
        <v>0</v>
      </c>
      <c r="N11" s="2" t="s">
        <v>1</v>
      </c>
      <c r="O11" s="2" t="s">
        <v>52</v>
      </c>
      <c r="P11" s="2" t="s">
        <v>20</v>
      </c>
      <c r="Q11" s="2" t="s">
        <v>10</v>
      </c>
      <c r="R11" s="2" t="s">
        <v>8</v>
      </c>
      <c r="S11" s="2" t="s">
        <v>6</v>
      </c>
      <c r="T11" s="2" t="s">
        <v>52</v>
      </c>
      <c r="U11" s="2" t="s">
        <v>1</v>
      </c>
      <c r="V11" s="2" t="s">
        <v>0</v>
      </c>
    </row>
  </sheetData>
  <mergeCells count="5">
    <mergeCell ref="A11:H11"/>
    <mergeCell ref="A1:E2"/>
    <mergeCell ref="A3:E4"/>
    <mergeCell ref="A9:H9"/>
    <mergeCell ref="A7:H7"/>
  </mergeCells>
  <pageMargins left="0.7" right="0.7" top="0.75" bottom="0.75" header="0.3" footer="0.3"/>
  <pageSetup paperSize="9" orientation="portrait" horizontalDpi="0" verticalDpi="0" r:id="rId1"/>
  <legacyDrawing r:id="rId2"/>
  <controls>
    <control shapeId="4101" r:id="rId3" name="CommandButton1"/>
    <control shapeId="4100" r:id="rId4" name="TextBox2"/>
    <control shapeId="4097" r:id="rId5" name="TextBox1"/>
    <control shapeId="4103" r:id="rId6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M19"/>
  <sheetViews>
    <sheetView tabSelected="1" workbookViewId="0">
      <selection activeCell="AR12" sqref="AR12"/>
    </sheetView>
  </sheetViews>
  <sheetFormatPr defaultColWidth="3" defaultRowHeight="15"/>
  <sheetData>
    <row r="1" spans="1:10">
      <c r="A1" s="16" t="s">
        <v>50</v>
      </c>
      <c r="B1" s="16"/>
      <c r="C1" s="16"/>
    </row>
    <row r="2" spans="1:10">
      <c r="A2" s="16"/>
      <c r="B2" s="16"/>
      <c r="C2" s="16"/>
    </row>
    <row r="3" spans="1:10">
      <c r="A3" s="8" t="s">
        <v>51</v>
      </c>
      <c r="B3" s="8"/>
      <c r="C3" s="8"/>
    </row>
    <row r="4" spans="1:10">
      <c r="A4" s="8"/>
      <c r="B4" s="8"/>
      <c r="C4" s="8"/>
    </row>
    <row r="6" spans="1:10">
      <c r="A6" s="15" t="s">
        <v>55</v>
      </c>
      <c r="B6" s="15"/>
      <c r="C6" s="15"/>
      <c r="D6" s="15"/>
      <c r="E6" s="15"/>
      <c r="F6" s="15"/>
      <c r="G6" s="15"/>
    </row>
    <row r="7" spans="1:10">
      <c r="B7" s="2" t="s">
        <v>0</v>
      </c>
      <c r="C7" s="2" t="s">
        <v>1</v>
      </c>
      <c r="D7" s="2" t="s">
        <v>9</v>
      </c>
      <c r="E7" s="2" t="s">
        <v>21</v>
      </c>
      <c r="F7" s="2" t="s">
        <v>17</v>
      </c>
    </row>
    <row r="8" spans="1:10">
      <c r="A8" s="2"/>
      <c r="B8" s="2" t="s">
        <v>13</v>
      </c>
      <c r="C8" s="2" t="s">
        <v>5</v>
      </c>
      <c r="D8" s="2" t="s">
        <v>6</v>
      </c>
      <c r="E8" s="2" t="s">
        <v>18</v>
      </c>
      <c r="F8" s="2" t="s">
        <v>19</v>
      </c>
    </row>
    <row r="9" spans="1:10">
      <c r="A9" s="2"/>
      <c r="B9" s="2" t="s">
        <v>14</v>
      </c>
      <c r="C9" s="2" t="s">
        <v>11</v>
      </c>
      <c r="D9" s="2" t="s">
        <v>20</v>
      </c>
      <c r="E9" s="2" t="s">
        <v>4</v>
      </c>
      <c r="F9" s="2" t="s">
        <v>10</v>
      </c>
    </row>
    <row r="10" spans="1:10">
      <c r="A10" s="2"/>
      <c r="B10" s="2" t="s">
        <v>22</v>
      </c>
      <c r="C10" s="2" t="s">
        <v>2</v>
      </c>
      <c r="D10" s="2" t="s">
        <v>7</v>
      </c>
      <c r="E10" s="2" t="s">
        <v>8</v>
      </c>
      <c r="F10" s="2" t="s">
        <v>12</v>
      </c>
    </row>
    <row r="11" spans="1:10">
      <c r="A11" s="2"/>
      <c r="B11" s="2" t="s">
        <v>23</v>
      </c>
      <c r="C11" s="2" t="s">
        <v>15</v>
      </c>
      <c r="D11" s="2" t="s">
        <v>24</v>
      </c>
      <c r="E11" s="2" t="s">
        <v>16</v>
      </c>
      <c r="F11" s="2" t="s">
        <v>3</v>
      </c>
    </row>
    <row r="12" spans="1:10">
      <c r="A12" s="2"/>
      <c r="B12" s="2"/>
      <c r="C12" s="2"/>
      <c r="D12" s="2"/>
      <c r="E12" s="2"/>
      <c r="F12" s="2"/>
    </row>
    <row r="13" spans="1:10">
      <c r="A13" s="8" t="s">
        <v>38</v>
      </c>
      <c r="B13" s="8"/>
      <c r="C13" s="8"/>
      <c r="D13" s="8"/>
      <c r="E13" s="8"/>
      <c r="F13" s="8"/>
      <c r="G13" s="8"/>
    </row>
    <row r="15" spans="1:10">
      <c r="A15" t="s">
        <v>4</v>
      </c>
      <c r="B15" t="s">
        <v>1</v>
      </c>
      <c r="C15" t="s">
        <v>56</v>
      </c>
      <c r="D15" t="s">
        <v>15</v>
      </c>
      <c r="E15" t="s">
        <v>16</v>
      </c>
      <c r="F15" t="s">
        <v>5</v>
      </c>
      <c r="G15" t="s">
        <v>6</v>
      </c>
      <c r="H15" t="s">
        <v>7</v>
      </c>
      <c r="I15" t="s">
        <v>8</v>
      </c>
      <c r="J15" t="s">
        <v>16</v>
      </c>
    </row>
    <row r="17" spans="1:13">
      <c r="A17" t="s">
        <v>11</v>
      </c>
      <c r="B17" t="s">
        <v>21</v>
      </c>
      <c r="C17" t="s">
        <v>2</v>
      </c>
      <c r="D17" t="s">
        <v>1</v>
      </c>
      <c r="E17" t="s">
        <v>15</v>
      </c>
      <c r="F17" t="s">
        <v>18</v>
      </c>
      <c r="G17" t="s">
        <v>20</v>
      </c>
      <c r="H17" t="s">
        <v>24</v>
      </c>
      <c r="I17" t="s">
        <v>16</v>
      </c>
      <c r="J17" t="s">
        <v>21</v>
      </c>
    </row>
    <row r="19" spans="1:13">
      <c r="M19" s="3"/>
    </row>
  </sheetData>
  <mergeCells count="4">
    <mergeCell ref="A1:C2"/>
    <mergeCell ref="A3:C4"/>
    <mergeCell ref="A6:G6"/>
    <mergeCell ref="A13:G13"/>
  </mergeCells>
  <pageMargins left="0.7" right="0.7" top="0.75" bottom="0.75" header="0.3" footer="0.3"/>
  <pageSetup paperSize="9" orientation="portrait" horizontalDpi="0" verticalDpi="0" r:id="rId1"/>
  <legacyDrawing r:id="rId2"/>
  <controls>
    <control shapeId="5125" r:id="rId3" name="CommandButton2"/>
    <control shapeId="5123" r:id="rId4" name="CommandButton1"/>
    <control shapeId="5122" r:id="rId5" name="TextBox2"/>
    <control shapeId="5121" r:id="rId6" name="Tex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menu</vt:lpstr>
      <vt:lpstr>symetric</vt:lpstr>
      <vt:lpstr>asymetric</vt:lpstr>
      <vt:lpstr>data</vt:lpstr>
      <vt:lpstr>Arkusz2</vt:lpstr>
      <vt:lpstr>visualizationCaesar</vt:lpstr>
      <vt:lpstr>visualizationPlayfair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2016-03-14T21:48:24Z</dcterms:created>
  <dcterms:modified xsi:type="dcterms:W3CDTF">2016-04-17T20:39:38Z</dcterms:modified>
</cp:coreProperties>
</file>