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drawings/drawing2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\\sbs2007\userdata$\krausa\Pulpit\documents-export-2016-04-07\"/>
    </mc:Choice>
  </mc:AlternateContent>
  <bookViews>
    <workbookView xWindow="0" yWindow="0" windowWidth="15360" windowHeight="7755" activeTab="1"/>
  </bookViews>
  <sheets>
    <sheet name="main" sheetId="1" r:id="rId1"/>
    <sheet name="symetric" sheetId="3" r:id="rId2"/>
    <sheet name="data" sheetId="5" r:id="rId3"/>
    <sheet name="asymetric" sheetId="4" r:id="rId4"/>
    <sheet name="Arkusz2" sheetId="2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2" l="1"/>
  <c r="K17" i="2"/>
  <c r="I10" i="2"/>
  <c r="I8" i="2"/>
  <c r="J1" i="2"/>
  <c r="J13" i="2"/>
  <c r="K13" i="2" s="1"/>
  <c r="J14" i="2"/>
  <c r="K14" i="2" s="1"/>
  <c r="J15" i="2"/>
  <c r="K15" i="2" s="1"/>
  <c r="J16" i="2"/>
  <c r="J18" i="2"/>
  <c r="K18" i="2" s="1"/>
  <c r="J12" i="2"/>
  <c r="K12" i="2" s="1"/>
  <c r="K8" i="2"/>
  <c r="I9" i="2"/>
  <c r="J5" i="2"/>
  <c r="K5" i="2" s="1"/>
  <c r="J4" i="2"/>
  <c r="K4" i="2" s="1"/>
  <c r="J3" i="2"/>
  <c r="K3" i="2" s="1"/>
  <c r="J2" i="2"/>
  <c r="K16" i="2"/>
  <c r="K2" i="2"/>
  <c r="K1" i="2"/>
</calcChain>
</file>

<file path=xl/sharedStrings.xml><?xml version="1.0" encoding="utf-8"?>
<sst xmlns="http://schemas.openxmlformats.org/spreadsheetml/2006/main" count="38" uniqueCount="38">
  <si>
    <t>m</t>
  </si>
  <si>
    <t>a</t>
  </si>
  <si>
    <t>r</t>
  </si>
  <si>
    <t>z</t>
  </si>
  <si>
    <t>n</t>
  </si>
  <si>
    <t>d</t>
  </si>
  <si>
    <t>e</t>
  </si>
  <si>
    <t>s</t>
  </si>
  <si>
    <t>t</t>
  </si>
  <si>
    <t>l</t>
  </si>
  <si>
    <t>o</t>
  </si>
  <si>
    <t>i</t>
  </si>
  <si>
    <t>u</t>
  </si>
  <si>
    <t>c</t>
  </si>
  <si>
    <t>h</t>
  </si>
  <si>
    <t>w</t>
  </si>
  <si>
    <t>y</t>
  </si>
  <si>
    <t>b</t>
  </si>
  <si>
    <t>f</t>
  </si>
  <si>
    <t>g</t>
  </si>
  <si>
    <t>k</t>
  </si>
  <si>
    <t>p</t>
  </si>
  <si>
    <t>q</t>
  </si>
  <si>
    <t>v</t>
  </si>
  <si>
    <t>x</t>
  </si>
  <si>
    <t>wikipediajestnajlepsza</t>
  </si>
  <si>
    <t>szyfr</t>
  </si>
  <si>
    <t>student</t>
  </si>
  <si>
    <t>magister</t>
  </si>
  <si>
    <t>alejuzniema</t>
  </si>
  <si>
    <t>alamialakotaprzezdwalata</t>
  </si>
  <si>
    <t>nicmnieniepokona</t>
  </si>
  <si>
    <t>hahaha</t>
  </si>
  <si>
    <t>hidethegoldinthetreestump</t>
  </si>
  <si>
    <t>playfairexample</t>
  </si>
  <si>
    <t>combo caesar</t>
  </si>
  <si>
    <t>szyfruj</t>
  </si>
  <si>
    <t>deszyfruj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</si>
</sst>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sz val="11"/>
      <color rgb="FF252525"/>
      <name val="Arial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5</xdr:row>
          <xdr:rowOff>180975</xdr:rowOff>
        </xdr:from>
        <xdr:to>
          <xdr:col>12</xdr:col>
          <xdr:colOff>9525</xdr:colOff>
          <xdr:row>14</xdr:row>
          <xdr:rowOff>0</xdr:rowOff>
        </xdr:to>
        <xdr:sp macro="" textlink="">
          <xdr:nvSpPr>
            <xdr:cNvPr id="1025" name="Labe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180975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180975</xdr:rowOff>
        </xdr:from>
        <xdr:to>
          <xdr:col>3</xdr:col>
          <xdr:colOff>0</xdr:colOff>
          <xdr:row>13</xdr:row>
          <xdr:rowOff>9525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6</xdr:row>
          <xdr:rowOff>180975</xdr:rowOff>
        </xdr:from>
        <xdr:to>
          <xdr:col>14</xdr:col>
          <xdr:colOff>609600</xdr:colOff>
          <xdr:row>13</xdr:row>
          <xdr:rowOff>9525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9525</xdr:rowOff>
        </xdr:from>
        <xdr:to>
          <xdr:col>4</xdr:col>
          <xdr:colOff>600075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9525</xdr:rowOff>
        </xdr:from>
        <xdr:to>
          <xdr:col>9</xdr:col>
          <xdr:colOff>600075</xdr:colOff>
          <xdr:row>3</xdr:row>
          <xdr:rowOff>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"/>
  <sheetViews>
    <sheetView workbookViewId="0">
      <selection activeCell="K21" sqref="K21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CommandButton4">
          <controlPr defaultSize="0" autoLine="0" autoPict="0" r:id="rId4">
            <anchor moveWithCells="1">
              <from>
                <xdr:col>13</xdr:col>
                <xdr:colOff>9525</xdr:colOff>
                <xdr:row>6</xdr:row>
                <xdr:rowOff>180975</xdr:rowOff>
              </from>
              <to>
                <xdr:col>14</xdr:col>
                <xdr:colOff>609600</xdr:colOff>
                <xdr:row>13</xdr:row>
                <xdr:rowOff>9525</xdr:rowOff>
              </to>
            </anchor>
          </controlPr>
        </control>
      </mc:Choice>
      <mc:Fallback>
        <control shapeId="1030" r:id="rId3" name="CommandButton4"/>
      </mc:Fallback>
    </mc:AlternateContent>
    <mc:AlternateContent xmlns:mc="http://schemas.openxmlformats.org/markup-compatibility/2006">
      <mc:Choice Requires="x14">
        <control shapeId="1029" r:id="rId5" name="CommandButton3">
          <controlPr defaultSize="0" autoLine="0" autoPict="0" r:id="rId6">
            <anchor moveWithCells="1">
              <from>
                <xdr:col>1</xdr:col>
                <xdr:colOff>0</xdr:colOff>
                <xdr:row>6</xdr:row>
                <xdr:rowOff>180975</xdr:rowOff>
              </from>
              <to>
                <xdr:col>3</xdr:col>
                <xdr:colOff>0</xdr:colOff>
                <xdr:row>13</xdr:row>
                <xdr:rowOff>9525</xdr:rowOff>
              </to>
            </anchor>
          </controlPr>
        </control>
      </mc:Choice>
      <mc:Fallback>
        <control shapeId="1029" r:id="rId5" name="CommandButton3"/>
      </mc:Fallback>
    </mc:AlternateContent>
    <mc:AlternateContent xmlns:mc="http://schemas.openxmlformats.org/markup-compatibility/2006">
      <mc:Choice Requires="x14">
        <control shapeId="1028" r:id="rId7" name="CommandButton2">
          <controlPr defaultSize="0" autoLine="0" r:id="rId8">
            <anchor moveWithCells="1">
              <from>
                <xdr:col>5</xdr:col>
                <xdr:colOff>9525</xdr:colOff>
                <xdr:row>16</xdr:row>
                <xdr:rowOff>0</xdr:rowOff>
              </from>
              <to>
                <xdr:col>11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028" r:id="rId7" name="CommandButton2"/>
      </mc:Fallback>
    </mc:AlternateContent>
    <mc:AlternateContent xmlns:mc="http://schemas.openxmlformats.org/markup-compatibility/2006">
      <mc:Choice Requires="x14">
        <control shapeId="1027" r:id="rId9" name="CommandButton1">
          <controlPr defaultSize="0" autoLine="0" r:id="rId10">
            <anchor moveWithCells="1">
              <from>
                <xdr:col>5</xdr:col>
                <xdr:colOff>28575</xdr:colOff>
                <xdr:row>0</xdr:row>
                <xdr:rowOff>180975</xdr:rowOff>
              </from>
              <to>
                <xdr:col>11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7" r:id="rId9" name="CommandButton1"/>
      </mc:Fallback>
    </mc:AlternateContent>
    <mc:AlternateContent xmlns:mc="http://schemas.openxmlformats.org/markup-compatibility/2006">
      <mc:Choice Requires="x14">
        <control shapeId="1025" r:id="rId11" name="Label1">
          <controlPr defaultSize="0" autoLine="0" r:id="rId12">
            <anchor moveWithCells="1">
              <from>
                <xdr:col>3</xdr:col>
                <xdr:colOff>600075</xdr:colOff>
                <xdr:row>5</xdr:row>
                <xdr:rowOff>180975</xdr:rowOff>
              </from>
              <to>
                <xdr:col>12</xdr:col>
                <xdr:colOff>9525</xdr:colOff>
                <xdr:row>14</xdr:row>
                <xdr:rowOff>0</xdr:rowOff>
              </to>
            </anchor>
          </controlPr>
        </control>
      </mc:Choice>
      <mc:Fallback>
        <control shapeId="1025" r:id="rId11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"/>
  <sheetViews>
    <sheetView tabSelected="1" workbookViewId="0">
      <selection activeCell="D6" sqref="D6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r:id="rId4">
            <anchor moveWithCells="1">
              <from>
                <xdr:col>6</xdr:col>
                <xdr:colOff>0</xdr:colOff>
                <xdr:row>1</xdr:row>
                <xdr:rowOff>9525</xdr:rowOff>
              </from>
              <to>
                <xdr:col>9</xdr:col>
                <xdr:colOff>600075</xdr:colOff>
                <xdr:row>3</xdr:row>
                <xdr:rowOff>0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1</xdr:col>
                <xdr:colOff>0</xdr:colOff>
                <xdr:row>1</xdr:row>
                <xdr:rowOff>9525</xdr:rowOff>
              </from>
              <to>
                <xdr:col>4</xdr:col>
                <xdr:colOff>600075</xdr:colOff>
                <xdr:row>3</xdr:row>
                <xdr:rowOff>0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A3"/>
  <sheetViews>
    <sheetView workbookViewId="0">
      <selection activeCell="D29" sqref="D29"/>
    </sheetView>
  </sheetViews>
  <sheetFormatPr defaultRowHeight="15" x14ac:dyDescent="0.25"/>
  <cols>
    <col min="1" max="1" width="16.7109375" customWidth="1"/>
  </cols>
  <sheetData>
    <row r="1" spans="1:1" x14ac:dyDescent="0.25">
      <c r="A1" t="s">
        <v>35</v>
      </c>
    </row>
    <row r="2" spans="1:1" x14ac:dyDescent="0.25">
      <c r="A2" t="s">
        <v>36</v>
      </c>
    </row>
    <row r="3" spans="1:1" x14ac:dyDescent="0.25">
      <c r="A3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"/>
  <sheetViews>
    <sheetView workbookViewId="0">
      <selection activeCell="D32" sqref="D32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L18"/>
  <sheetViews>
    <sheetView topLeftCell="A4" workbookViewId="0">
      <selection activeCell="K12" sqref="K12"/>
    </sheetView>
  </sheetViews>
  <sheetFormatPr defaultRowHeight="15" x14ac:dyDescent="0.25"/>
  <cols>
    <col min="1" max="1" width="3.140625" customWidth="1"/>
    <col min="2" max="2" width="3.5703125" customWidth="1"/>
    <col min="3" max="3" width="5.140625" customWidth="1"/>
    <col min="4" max="4" width="3.28515625" customWidth="1"/>
    <col min="5" max="5" width="3.140625" customWidth="1"/>
    <col min="8" max="8" width="27.42578125" customWidth="1"/>
    <col min="9" max="9" width="16.140625" customWidth="1"/>
    <col min="10" max="10" width="28.7109375" customWidth="1"/>
    <col min="11" max="11" width="27" customWidth="1"/>
  </cols>
  <sheetData>
    <row r="1" spans="1:12" x14ac:dyDescent="0.25">
      <c r="A1" t="s">
        <v>0</v>
      </c>
      <c r="B1" t="s">
        <v>1</v>
      </c>
      <c r="C1" t="s">
        <v>19</v>
      </c>
      <c r="D1" t="s">
        <v>11</v>
      </c>
      <c r="E1" t="s">
        <v>7</v>
      </c>
      <c r="H1" t="s">
        <v>27</v>
      </c>
      <c r="I1" t="s">
        <v>28</v>
      </c>
      <c r="J1" t="str">
        <f>encryptPlayfair(H1,I1)</f>
        <v>mcnltorv</v>
      </c>
      <c r="K1" t="str">
        <f>decryptPlayfair(J1,I1)</f>
        <v>studentx</v>
      </c>
    </row>
    <row r="2" spans="1:12" x14ac:dyDescent="0.25">
      <c r="A2" t="s">
        <v>8</v>
      </c>
      <c r="B2" t="s">
        <v>6</v>
      </c>
      <c r="C2" t="s">
        <v>2</v>
      </c>
      <c r="D2" t="s">
        <v>17</v>
      </c>
      <c r="E2" t="s">
        <v>13</v>
      </c>
      <c r="H2" t="s">
        <v>25</v>
      </c>
      <c r="I2" t="s">
        <v>26</v>
      </c>
      <c r="J2" t="str">
        <f>encryptPlayfair(H2,I2)</f>
        <v>vklkqdckcgarumcgqlmfsb</v>
      </c>
      <c r="K2" t="str">
        <f>decryptPlayfair(J2,I2)</f>
        <v>wikipediaiestnailepsza</v>
      </c>
    </row>
    <row r="3" spans="1:12" x14ac:dyDescent="0.25">
      <c r="A3" t="s">
        <v>5</v>
      </c>
      <c r="B3" t="s">
        <v>18</v>
      </c>
      <c r="C3" t="s">
        <v>14</v>
      </c>
      <c r="D3" t="s">
        <v>20</v>
      </c>
      <c r="E3" t="s">
        <v>9</v>
      </c>
      <c r="H3" t="s">
        <v>30</v>
      </c>
      <c r="I3" t="s">
        <v>29</v>
      </c>
      <c r="J3" t="str">
        <f>encryptPlayfair(H3,I3)</f>
        <v>leezuleldsazqsmadoteelaz</v>
      </c>
      <c r="K3" t="str">
        <f>decryptPlayfair(J3,I3)</f>
        <v>alamialakottprzezdwalatt</v>
      </c>
    </row>
    <row r="4" spans="1:12" x14ac:dyDescent="0.25">
      <c r="A4" t="s">
        <v>4</v>
      </c>
      <c r="B4" t="s">
        <v>10</v>
      </c>
      <c r="C4" t="s">
        <v>21</v>
      </c>
      <c r="D4" t="s">
        <v>22</v>
      </c>
      <c r="E4" t="s">
        <v>12</v>
      </c>
      <c r="H4" t="s">
        <v>31</v>
      </c>
      <c r="I4" t="s">
        <v>32</v>
      </c>
      <c r="J4" t="str">
        <f>encryptPlayfair(H4,I4)</f>
        <v>ogaoogglkflpipmb</v>
      </c>
      <c r="K4" t="str">
        <f>decryptPlayfair(J4,I4)</f>
        <v>nicmnienieppkona</v>
      </c>
    </row>
    <row r="5" spans="1:12" x14ac:dyDescent="0.25">
      <c r="A5" t="s">
        <v>23</v>
      </c>
      <c r="B5" t="s">
        <v>15</v>
      </c>
      <c r="C5" t="s">
        <v>24</v>
      </c>
      <c r="D5" t="s">
        <v>16</v>
      </c>
      <c r="E5" t="s">
        <v>3</v>
      </c>
      <c r="H5" s="1" t="s">
        <v>33</v>
      </c>
      <c r="I5" t="s">
        <v>34</v>
      </c>
      <c r="J5" t="str">
        <f>encryptPlayfair(H5,I5)</f>
        <v>bmodzbxdnabekudmuixxkzzryi</v>
      </c>
      <c r="K5" t="str">
        <f>decryptPlayfair(J5,I5)</f>
        <v>hidethegoldinthetreestumpx</v>
      </c>
    </row>
    <row r="6" spans="1:12" x14ac:dyDescent="0.25">
      <c r="C6">
        <v>287</v>
      </c>
    </row>
    <row r="8" spans="1:12" x14ac:dyDescent="0.25">
      <c r="D8">
        <v>43</v>
      </c>
      <c r="H8">
        <v>12</v>
      </c>
      <c r="I8">
        <f>euler(H8)</f>
        <v>4</v>
      </c>
      <c r="K8">
        <f>euler(120)</f>
        <v>32</v>
      </c>
    </row>
    <row r="9" spans="1:12" x14ac:dyDescent="0.25">
      <c r="H9">
        <v>2006</v>
      </c>
      <c r="I9">
        <f>euler(H9)</f>
        <v>928</v>
      </c>
    </row>
    <row r="10" spans="1:12" x14ac:dyDescent="0.25">
      <c r="A10">
        <v>1</v>
      </c>
      <c r="B10">
        <v>8</v>
      </c>
      <c r="C10">
        <v>9</v>
      </c>
      <c r="D10">
        <v>10</v>
      </c>
      <c r="E10">
        <v>6</v>
      </c>
      <c r="H10">
        <v>1980</v>
      </c>
      <c r="I10">
        <f>euler(H10)</f>
        <v>480</v>
      </c>
    </row>
    <row r="11" spans="1:12" x14ac:dyDescent="0.25">
      <c r="A11">
        <v>11</v>
      </c>
      <c r="B11">
        <v>2</v>
      </c>
      <c r="C11">
        <v>12</v>
      </c>
      <c r="D11">
        <v>3</v>
      </c>
      <c r="E11">
        <v>3</v>
      </c>
      <c r="J11">
        <v>283</v>
      </c>
      <c r="K11">
        <v>233</v>
      </c>
      <c r="L11">
        <v>523</v>
      </c>
    </row>
    <row r="12" spans="1:12" x14ac:dyDescent="0.25">
      <c r="A12">
        <v>13</v>
      </c>
      <c r="B12">
        <v>14</v>
      </c>
      <c r="C12">
        <v>0</v>
      </c>
      <c r="D12">
        <v>15</v>
      </c>
      <c r="E12">
        <v>16</v>
      </c>
      <c r="I12">
        <v>50</v>
      </c>
      <c r="J12">
        <f>encryptRSA(I12,$J$11,$K$11,$L$11)</f>
        <v>18124</v>
      </c>
      <c r="K12">
        <f>decryptRSA(J12,$J$11,$K$11)</f>
        <v>50</v>
      </c>
    </row>
    <row r="13" spans="1:12" x14ac:dyDescent="0.25">
      <c r="A13">
        <v>17</v>
      </c>
      <c r="B13">
        <v>18</v>
      </c>
      <c r="C13">
        <v>7</v>
      </c>
      <c r="D13">
        <v>4</v>
      </c>
      <c r="E13">
        <v>5</v>
      </c>
      <c r="I13">
        <v>123</v>
      </c>
      <c r="J13">
        <f t="shared" ref="J13:J18" si="0">encryptRSA(I13,$J$11,$K$11,$L$11)</f>
        <v>17818</v>
      </c>
      <c r="K13">
        <f t="shared" ref="K13:K18" si="1">decryptRSA(J13,$J$11,$K$11)</f>
        <v>123</v>
      </c>
    </row>
    <row r="14" spans="1:12" x14ac:dyDescent="0.25">
      <c r="A14">
        <v>19</v>
      </c>
      <c r="B14">
        <v>20</v>
      </c>
      <c r="C14">
        <v>21</v>
      </c>
      <c r="D14">
        <v>22</v>
      </c>
      <c r="E14">
        <v>23</v>
      </c>
      <c r="I14">
        <v>43</v>
      </c>
      <c r="J14">
        <f t="shared" si="0"/>
        <v>28327</v>
      </c>
      <c r="K14">
        <f t="shared" si="1"/>
        <v>43</v>
      </c>
    </row>
    <row r="15" spans="1:12" x14ac:dyDescent="0.25">
      <c r="I15">
        <v>43</v>
      </c>
      <c r="J15">
        <f t="shared" si="0"/>
        <v>28327</v>
      </c>
      <c r="K15">
        <f t="shared" si="1"/>
        <v>43</v>
      </c>
    </row>
    <row r="16" spans="1:12" x14ac:dyDescent="0.25">
      <c r="I16">
        <v>12</v>
      </c>
      <c r="J16">
        <f t="shared" si="0"/>
        <v>63706</v>
      </c>
      <c r="K16" t="e">
        <f>decryptRSA(J16,$J$11,$K$11)</f>
        <v>#VALUE!</v>
      </c>
    </row>
    <row r="17" spans="9:11" x14ac:dyDescent="0.25">
      <c r="I17">
        <v>31</v>
      </c>
      <c r="J17">
        <f>encryptRSA(I17,$J$11,$K$11,$L$11)</f>
        <v>37482</v>
      </c>
      <c r="K17" t="e">
        <f t="shared" si="1"/>
        <v>#VALUE!</v>
      </c>
    </row>
    <row r="18" spans="9:11" x14ac:dyDescent="0.25">
      <c r="I18">
        <v>4</v>
      </c>
      <c r="J18">
        <f t="shared" si="0"/>
        <v>12586</v>
      </c>
      <c r="K18">
        <f t="shared" si="1"/>
        <v>4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main</vt:lpstr>
      <vt:lpstr>symetric</vt:lpstr>
      <vt:lpstr>data</vt:lpstr>
      <vt:lpstr>asymetric</vt:lpstr>
      <vt:lpstr>Arkusz2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</dc:creator>
  <cp:lastModifiedBy>Arkadiusz Kraus</cp:lastModifiedBy>
  <dcterms:created xsi:type="dcterms:W3CDTF">2016-03-14T21:48:24Z</dcterms:created>
  <dcterms:modified xsi:type="dcterms:W3CDTF">2016-04-07T13:20:00Z</dcterms:modified>
</cp:coreProperties>
</file>