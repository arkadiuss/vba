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jpeg" ContentType="image/jpeg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5360" windowHeight="7755" activeTab="5"/>
  </bookViews>
  <sheets>
    <sheet name="menu" sheetId="1" r:id="rId1"/>
    <sheet name="symetric" sheetId="3" r:id="rId2"/>
    <sheet name="asymetric" sheetId="4" r:id="rId3"/>
    <sheet name="data" sheetId="5" r:id="rId4"/>
    <sheet name="Arkusz2" sheetId="2" r:id="rId5"/>
    <sheet name="visualizationCaesar" sheetId="6" r:id="rId6"/>
    <sheet name="visualizationPlayfair" sheetId="7" r:id="rId7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1" i="2"/>
  <c r="I9"/>
  <c r="J15"/>
  <c r="J4"/>
  <c r="J1"/>
  <c r="I10"/>
  <c r="K17"/>
  <c r="K13"/>
  <c r="K14"/>
  <c r="I8"/>
  <c r="J12"/>
  <c r="J17"/>
  <c r="J13"/>
  <c r="J18"/>
  <c r="K12"/>
  <c r="K8"/>
  <c r="K18"/>
  <c r="J3"/>
  <c r="J14"/>
  <c r="K15"/>
  <c r="J5"/>
  <c r="K5" s="1"/>
  <c r="J16"/>
  <c r="K16"/>
  <c r="J2"/>
  <c r="K2" s="1"/>
  <c r="K4"/>
  <c r="K1"/>
  <c r="K3"/>
</calcChain>
</file>

<file path=xl/sharedStrings.xml><?xml version="1.0" encoding="utf-8"?>
<sst xmlns="http://schemas.openxmlformats.org/spreadsheetml/2006/main" count="189" uniqueCount="55">
  <si>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</si>
  <si>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</si>
  <si>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</si>
  <si>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</si>
  <si>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</si>
  <si>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</si>
  <si>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</si>
  <si>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</si>
  <si>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</si>
  <si>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</si>
  <si>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</si>
  <si>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</si>
  <si>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</si>
  <si>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</si>
  <si>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</si>
  <si>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</si>
  <si>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</si>
  <si>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</si>
  <si>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</si>
  <si>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</si>
  <si>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</si>
  <si>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</si>
  <si>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</si>
  <si>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</si>
  <si>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</si>
  <si>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</si>
  <si>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</si>
  <si>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</si>
  <si>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</si>
  <si>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</si>
  <si>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</si>
  <si>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</si>
  <si>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</si>
  <si>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</si>
  <si>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</si>
  <si>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</si>
  <si>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</si>
  <si>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</si>
  <si>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</si>
  <si>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</si>
  <si>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rsa zamiana tekstu na liczby</t>
  </si>
  <si>
    <t>przypisy ograniczające (sp[rawdzanie pól?)</t>
  </si>
  <si>
    <t>Kryptografia asymetryczna</t>
  </si>
  <si>
    <t>Kryptografia symetryczna</t>
  </si>
  <si>
    <t>W tym rodzaju kryptografii wykorzystujemy jeden klucz zarówno do szyfrowania jak i deszyfrowania (można stosować rózne klucze ale tylko wtedy, gdy jest możliwe wyznaczenie klucza szyfrującego z deszyfrującego i odwrotnie). To oznacza, że obie strony podczas komunikacji muszą znać ten klucz.</t>
  </si>
  <si>
    <t>Przykłady</t>
  </si>
  <si>
    <t xml:space="preserve">W kryptografii asymetrycznej wykorzystujemy dwa klucze - publiczny i prywatny. Jeśli chcemy wysłać do kogoś wiadomość szyfrujemy ją za pomocą klucza publicznego i wysyłamy. Osoba ta po otrzymaniu takiej wiadomości deszyfruje ją za pomocą swojego klucza prywatnego. Algorytmy w tej kryptografii stosują własności matematyczne, które są łatwe do wykowania w jedną stronę i trudne do odtworzenia (np. pomnożenie liczb jest proste, ale rozkład danej liczby na czynniki pierwsze już trudny)  </t>
  </si>
  <si>
    <t>Przykład</t>
  </si>
  <si>
    <t>klucz</t>
  </si>
  <si>
    <t>tekst</t>
  </si>
  <si>
    <t xml:space="preserve"> </t>
  </si>
  <si>
    <t>tekst jawny</t>
  </si>
  <si>
    <t>tekst ukryty</t>
  </si>
  <si>
    <t>Tworzenie alfabetu</t>
  </si>
  <si>
    <t>j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</si>
</sst>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6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Fill="1" applyAlignment="1"/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7" fillId="0" borderId="0" xfId="0" applyFont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8</xdr:row>
      <xdr:rowOff>9525</xdr:rowOff>
    </xdr:from>
    <xdr:to>
      <xdr:col>14</xdr:col>
      <xdr:colOff>600075</xdr:colOff>
      <xdr:row>26</xdr:row>
      <xdr:rowOff>0</xdr:rowOff>
    </xdr:to>
    <xdr:pic>
      <xdr:nvPicPr>
        <xdr:cNvPr id="2053" name="Picture 5" descr="http://www.cryptography.ovh.org/filmy/symetryczne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33525"/>
          <a:ext cx="9077325" cy="34194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485776</xdr:colOff>
      <xdr:row>24</xdr:row>
      <xdr:rowOff>161926</xdr:rowOff>
    </xdr:from>
    <xdr:to>
      <xdr:col>15</xdr:col>
      <xdr:colOff>9526</xdr:colOff>
      <xdr:row>26</xdr:row>
      <xdr:rowOff>9525</xdr:rowOff>
    </xdr:to>
    <xdr:sp macro="" textlink="">
      <xdr:nvSpPr>
        <xdr:cNvPr id="3" name="pole tekstowe 2"/>
        <xdr:cNvSpPr txBox="1"/>
      </xdr:nvSpPr>
      <xdr:spPr>
        <a:xfrm>
          <a:off x="7800976" y="4733926"/>
          <a:ext cx="13525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800" b="0" i="0" u="none" strike="noStrike">
              <a:solidFill>
                <a:schemeClr val="dk1"/>
              </a:solidFill>
              <a:latin typeface="+mn-lt"/>
              <a:ea typeface="+mn-ea"/>
              <a:cs typeface="+mn-cs"/>
              <a:hlinkClick xmlns:r="http://schemas.openxmlformats.org/officeDocument/2006/relationships" r:id=""/>
            </a:rPr>
            <a:t>www.cryptography.ovh.org</a:t>
          </a:r>
          <a:endParaRPr lang="pl-PL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8</xdr:row>
      <xdr:rowOff>9525</xdr:rowOff>
    </xdr:from>
    <xdr:to>
      <xdr:col>14</xdr:col>
      <xdr:colOff>600074</xdr:colOff>
      <xdr:row>25</xdr:row>
      <xdr:rowOff>180975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49" y="1533525"/>
          <a:ext cx="9115425" cy="3409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control" Target="../activeX/activeX9.xml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5" Type="http://schemas.openxmlformats.org/officeDocument/2006/relationships/control" Target="../activeX/activeX17.xml"/><Relationship Id="rId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23" sqref="M23"/>
    </sheetView>
  </sheetViews>
  <sheetFormatPr defaultRowHeight="15"/>
  <sheetData>
    <row r="7" spans="5:12">
      <c r="E7" s="5" t="s">
        <v>38</v>
      </c>
      <c r="F7" s="6"/>
      <c r="G7" s="6"/>
      <c r="H7" s="6"/>
      <c r="I7" s="6"/>
      <c r="J7" s="6"/>
      <c r="K7" s="6"/>
      <c r="L7" s="6"/>
    </row>
    <row r="8" spans="5:12">
      <c r="E8" s="6"/>
      <c r="F8" s="6"/>
      <c r="G8" s="6"/>
      <c r="H8" s="6"/>
      <c r="I8" s="6"/>
      <c r="J8" s="6"/>
      <c r="K8" s="6"/>
      <c r="L8" s="6"/>
    </row>
    <row r="9" spans="5:12">
      <c r="E9" s="6"/>
      <c r="F9" s="6"/>
      <c r="G9" s="6"/>
      <c r="H9" s="6"/>
      <c r="I9" s="6"/>
      <c r="J9" s="6"/>
      <c r="K9" s="6"/>
      <c r="L9" s="6"/>
    </row>
    <row r="10" spans="5:12">
      <c r="E10" s="6"/>
      <c r="F10" s="6"/>
      <c r="G10" s="6"/>
      <c r="H10" s="6"/>
      <c r="I10" s="6"/>
      <c r="J10" s="6"/>
      <c r="K10" s="6"/>
      <c r="L10" s="6"/>
    </row>
    <row r="11" spans="5:12">
      <c r="E11" s="6"/>
      <c r="F11" s="6"/>
      <c r="G11" s="6"/>
      <c r="H11" s="6"/>
      <c r="I11" s="6"/>
      <c r="J11" s="6"/>
      <c r="K11" s="6"/>
      <c r="L11" s="6"/>
    </row>
    <row r="12" spans="5:12">
      <c r="E12" s="6"/>
      <c r="F12" s="6"/>
      <c r="G12" s="6"/>
      <c r="H12" s="6"/>
      <c r="I12" s="6"/>
      <c r="J12" s="6"/>
      <c r="K12" s="6"/>
      <c r="L12" s="6"/>
    </row>
    <row r="13" spans="5:12">
      <c r="E13" s="6"/>
      <c r="F13" s="6"/>
      <c r="G13" s="6"/>
      <c r="H13" s="6"/>
      <c r="I13" s="6"/>
      <c r="J13" s="6"/>
      <c r="K13" s="6"/>
      <c r="L13" s="6"/>
    </row>
    <row r="14" spans="5:12">
      <c r="E14" s="6"/>
      <c r="F14" s="6"/>
      <c r="G14" s="6"/>
      <c r="H14" s="6"/>
      <c r="I14" s="6"/>
      <c r="J14" s="6"/>
      <c r="K14" s="6"/>
      <c r="L14" s="6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29" r:id="rId3" name="CommandButton3"/>
    <control shapeId="1028" r:id="rId4" name="CommandButton2"/>
    <control shapeId="102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3:O28"/>
  <sheetViews>
    <sheetView workbookViewId="0">
      <selection activeCell="R17" sqref="R17"/>
    </sheetView>
  </sheetViews>
  <sheetFormatPr defaultRowHeight="15"/>
  <sheetData>
    <row r="3" spans="1:15">
      <c r="A3" s="7" t="s">
        <v>43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>
      <c r="A5" s="9" t="s">
        <v>44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45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</sheetData>
  <mergeCells count="3">
    <mergeCell ref="A3:O4"/>
    <mergeCell ref="A5:O8"/>
    <mergeCell ref="A27:O28"/>
  </mergeCells>
  <pageMargins left="0.7" right="0.7" top="0.75" bottom="0.75" header="0.3" footer="0.3"/>
  <drawing r:id="rId1"/>
  <legacyDrawing r:id="rId2"/>
  <controls>
    <control shapeId="2050" r:id="rId3" name="playfairB"/>
    <control shapeId="2049" r:id="rId4" name="caesarB"/>
    <control shapeId="2051" r:id="rId5" name="CommandButton1"/>
    <control shapeId="2052" r:id="rId6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3:O28"/>
  <sheetViews>
    <sheetView workbookViewId="0">
      <selection activeCell="P23" sqref="P23"/>
    </sheetView>
  </sheetViews>
  <sheetFormatPr defaultRowHeight="15"/>
  <sheetData>
    <row r="3" spans="1:15">
      <c r="A3" s="7" t="s">
        <v>42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>
      <c r="A5" s="9" t="s">
        <v>46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</sheetData>
  <mergeCells count="3">
    <mergeCell ref="A3:O4"/>
    <mergeCell ref="A5:O8"/>
    <mergeCell ref="A27:O2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control shapeId="3073" r:id="rId4" name="CommandButton1"/>
    <control shapeId="3074" r:id="rId5" name="CommandButton2"/>
    <control shapeId="3075" r:id="rId6" name="CommandButton3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3"/>
  <sheetViews>
    <sheetView workbookViewId="0">
      <selection activeCell="E19" sqref="E19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  <c r="E2" t="s">
        <v>40</v>
      </c>
    </row>
    <row r="3" spans="1:5">
      <c r="A3" t="s">
        <v>37</v>
      </c>
      <c r="E3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N21"/>
  <sheetViews>
    <sheetView topLeftCell="A4" workbookViewId="0">
      <selection activeCell="N22" sqref="N22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  <col min="14" max="14" width="13.42578125" customWidth="1"/>
  </cols>
  <sheetData>
    <row r="1" spans="1:12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2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</row>
    <row r="5" spans="1:12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>
      <c r="C6">
        <v>287</v>
      </c>
    </row>
    <row r="8" spans="1:12">
      <c r="D8">
        <v>43</v>
      </c>
      <c r="H8">
        <v>12</v>
      </c>
      <c r="I8">
        <f>euler(H8)</f>
        <v>4</v>
      </c>
      <c r="K8">
        <f>euler(120)</f>
        <v>32</v>
      </c>
    </row>
    <row r="9" spans="1:12">
      <c r="H9">
        <v>2006</v>
      </c>
      <c r="I9">
        <f>euler(H9)</f>
        <v>928</v>
      </c>
    </row>
    <row r="10" spans="1:12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 t="e">
        <f>decryptRSA(J12,$J$11,$K$11)</f>
        <v>#VALUE!</v>
      </c>
    </row>
    <row r="13" spans="1:12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 t="e">
        <f t="shared" ref="K13:K18" si="1">decryptRSA(J13,$J$11,$K$11)</f>
        <v>#VALUE!</v>
      </c>
    </row>
    <row r="14" spans="1:12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 t="e">
        <f t="shared" si="1"/>
        <v>#VALUE!</v>
      </c>
    </row>
    <row r="15" spans="1:12">
      <c r="I15">
        <v>43</v>
      </c>
      <c r="J15">
        <f t="shared" si="0"/>
        <v>28327</v>
      </c>
      <c r="K15" t="e">
        <f>decryptRSA(J15,$J$11,$K$11)</f>
        <v>#VALUE!</v>
      </c>
    </row>
    <row r="16" spans="1:12">
      <c r="I16">
        <v>12</v>
      </c>
      <c r="J16">
        <f t="shared" si="0"/>
        <v>63706</v>
      </c>
      <c r="K16" t="e">
        <f>decryptRSA(J16,$J$11,$K$11)</f>
        <v>#VALUE!</v>
      </c>
    </row>
    <row r="17" spans="9:14">
      <c r="I17">
        <v>31</v>
      </c>
      <c r="J17">
        <f>encryptRSA(I17,$J$11,$K$11,$L$11)</f>
        <v>37482</v>
      </c>
      <c r="K17" t="e">
        <f t="shared" si="1"/>
        <v>#VALUE!</v>
      </c>
    </row>
    <row r="18" spans="9:14">
      <c r="I18">
        <v>4</v>
      </c>
      <c r="J18">
        <f t="shared" si="0"/>
        <v>12586</v>
      </c>
      <c r="K18" t="e">
        <f t="shared" si="1"/>
        <v>#VALUE!</v>
      </c>
    </row>
    <row r="21" spans="9:14">
      <c r="M21">
        <v>52</v>
      </c>
      <c r="N21" t="str">
        <f>toColumnId(M21)</f>
        <v>BA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BY11"/>
  <sheetViews>
    <sheetView showGridLines="0" tabSelected="1" workbookViewId="0">
      <selection activeCell="AZ1" sqref="AZ1:AZ1048576"/>
    </sheetView>
  </sheetViews>
  <sheetFormatPr defaultColWidth="2.140625" defaultRowHeight="15"/>
  <sheetData>
    <row r="1" spans="1:77">
      <c r="A1" s="12" t="s">
        <v>48</v>
      </c>
      <c r="B1" s="13"/>
      <c r="C1" s="13"/>
      <c r="D1" s="13"/>
      <c r="E1" s="13"/>
    </row>
    <row r="2" spans="1:77">
      <c r="A2" s="12"/>
      <c r="B2" s="13"/>
      <c r="C2" s="13"/>
      <c r="D2" s="13"/>
      <c r="E2" s="13"/>
    </row>
    <row r="3" spans="1:77">
      <c r="A3" s="12" t="s">
        <v>49</v>
      </c>
      <c r="B3" s="13"/>
      <c r="C3" s="13"/>
      <c r="D3" s="13"/>
      <c r="E3" s="13"/>
    </row>
    <row r="4" spans="1:77">
      <c r="A4" s="12"/>
      <c r="B4" s="13"/>
      <c r="C4" s="13"/>
      <c r="D4" s="13"/>
      <c r="E4" s="13"/>
    </row>
    <row r="7" spans="1:77">
      <c r="A7" s="13" t="s">
        <v>51</v>
      </c>
      <c r="B7" s="13"/>
      <c r="C7" s="13"/>
      <c r="D7" s="13"/>
      <c r="E7" s="13"/>
      <c r="F7" s="13"/>
      <c r="G7" s="13"/>
      <c r="H7" s="13"/>
      <c r="I7" s="2" t="s">
        <v>1</v>
      </c>
      <c r="J7" s="2" t="s">
        <v>9</v>
      </c>
      <c r="K7" s="2" t="s">
        <v>1</v>
      </c>
      <c r="L7" s="2" t="s">
        <v>50</v>
      </c>
      <c r="M7" s="2" t="s">
        <v>0</v>
      </c>
      <c r="N7" s="2" t="s">
        <v>1</v>
      </c>
      <c r="O7" s="2" t="s">
        <v>50</v>
      </c>
      <c r="P7" s="2" t="s">
        <v>20</v>
      </c>
      <c r="Q7" s="2" t="s">
        <v>10</v>
      </c>
      <c r="R7" s="2" t="s">
        <v>8</v>
      </c>
      <c r="S7" s="2" t="s">
        <v>6</v>
      </c>
      <c r="T7" s="2" t="s">
        <v>50</v>
      </c>
      <c r="U7" s="2" t="s">
        <v>1</v>
      </c>
      <c r="V7" s="2" t="s">
        <v>0</v>
      </c>
      <c r="W7" s="2" t="s">
        <v>50</v>
      </c>
      <c r="X7" s="2" t="s">
        <v>11</v>
      </c>
      <c r="Y7" s="2" t="s">
        <v>50</v>
      </c>
      <c r="Z7" s="2" t="s">
        <v>5</v>
      </c>
      <c r="AA7" s="2" t="s">
        <v>15</v>
      </c>
      <c r="AB7" s="2" t="s">
        <v>11</v>
      </c>
      <c r="AC7" s="2" t="s">
        <v>6</v>
      </c>
      <c r="AD7" s="2" t="s">
        <v>50</v>
      </c>
      <c r="AE7" s="2" t="s">
        <v>7</v>
      </c>
      <c r="AF7" s="2" t="s">
        <v>15</v>
      </c>
      <c r="AG7" s="2" t="s">
        <v>11</v>
      </c>
      <c r="AH7" s="2" t="s">
        <v>4</v>
      </c>
      <c r="AI7" s="2" t="s">
        <v>11</v>
      </c>
      <c r="AJ7" s="2" t="s">
        <v>6</v>
      </c>
      <c r="AK7" s="2" t="s">
        <v>50</v>
      </c>
      <c r="AL7" s="2" t="s">
        <v>10</v>
      </c>
      <c r="AM7" s="2" t="s">
        <v>2</v>
      </c>
      <c r="AN7" s="2" t="s">
        <v>1</v>
      </c>
      <c r="AO7" s="2" t="s">
        <v>3</v>
      </c>
      <c r="AP7" s="2" t="s">
        <v>50</v>
      </c>
      <c r="AQ7" s="2" t="s">
        <v>5</v>
      </c>
      <c r="AR7" s="2" t="s">
        <v>15</v>
      </c>
      <c r="AS7" s="2" t="s">
        <v>11</v>
      </c>
      <c r="AT7" s="2" t="s">
        <v>6</v>
      </c>
      <c r="AU7" s="2" t="s">
        <v>50</v>
      </c>
      <c r="AV7" s="2" t="s">
        <v>0</v>
      </c>
      <c r="AW7" s="2" t="s">
        <v>16</v>
      </c>
      <c r="AX7" s="2" t="s">
        <v>7</v>
      </c>
      <c r="AY7" s="2" t="s">
        <v>3</v>
      </c>
      <c r="AZ7" s="2" t="s">
        <v>16</v>
      </c>
      <c r="BA7" s="2"/>
      <c r="BU7" s="2"/>
      <c r="BV7" s="2"/>
      <c r="BW7" s="2"/>
      <c r="BX7" s="2"/>
      <c r="BY7" s="2"/>
    </row>
    <row r="8" spans="1:77" s="4" customFormat="1" ht="12" customHeight="1"/>
    <row r="9" spans="1:77">
      <c r="A9" s="13" t="s">
        <v>52</v>
      </c>
      <c r="B9" s="13"/>
      <c r="C9" s="13"/>
      <c r="D9" s="13"/>
      <c r="E9" s="13"/>
      <c r="F9" s="13"/>
      <c r="G9" s="13"/>
      <c r="H9" s="13"/>
      <c r="I9" s="2" t="s">
        <v>20</v>
      </c>
      <c r="J9" s="2" t="s">
        <v>23</v>
      </c>
      <c r="K9" s="2" t="s">
        <v>20</v>
      </c>
      <c r="L9" s="2" t="s">
        <v>50</v>
      </c>
      <c r="M9" s="2" t="s">
        <v>15</v>
      </c>
      <c r="N9" s="2" t="s">
        <v>20</v>
      </c>
      <c r="O9" s="2" t="s">
        <v>50</v>
      </c>
      <c r="P9" s="2" t="s">
        <v>12</v>
      </c>
      <c r="Q9" s="2" t="s">
        <v>16</v>
      </c>
      <c r="R9" s="2" t="s">
        <v>5</v>
      </c>
      <c r="S9" s="2" t="s">
        <v>10</v>
      </c>
      <c r="T9" s="2" t="s">
        <v>50</v>
      </c>
      <c r="U9" s="2" t="s">
        <v>20</v>
      </c>
      <c r="V9" s="2" t="s">
        <v>15</v>
      </c>
      <c r="W9" s="2" t="s">
        <v>50</v>
      </c>
      <c r="X9" s="2" t="s">
        <v>7</v>
      </c>
      <c r="Y9" s="2" t="s">
        <v>50</v>
      </c>
      <c r="Z9" s="2" t="s">
        <v>4</v>
      </c>
      <c r="AA9" s="2" t="s">
        <v>19</v>
      </c>
      <c r="AB9" s="2" t="s">
        <v>7</v>
      </c>
      <c r="AC9" s="2" t="s">
        <v>10</v>
      </c>
      <c r="AD9" s="2" t="s">
        <v>50</v>
      </c>
      <c r="AE9" s="2" t="s">
        <v>13</v>
      </c>
      <c r="AF9" s="2" t="s">
        <v>19</v>
      </c>
      <c r="AG9" s="2" t="s">
        <v>7</v>
      </c>
      <c r="AH9" s="2" t="s">
        <v>24</v>
      </c>
      <c r="AI9" s="2" t="s">
        <v>7</v>
      </c>
      <c r="AJ9" s="2" t="s">
        <v>10</v>
      </c>
      <c r="AK9" s="2" t="s">
        <v>50</v>
      </c>
      <c r="AL9" s="2" t="s">
        <v>16</v>
      </c>
      <c r="AM9" s="2" t="s">
        <v>17</v>
      </c>
      <c r="AN9" s="2" t="s">
        <v>20</v>
      </c>
      <c r="AO9" s="2" t="s">
        <v>54</v>
      </c>
      <c r="AP9" s="2" t="s">
        <v>50</v>
      </c>
      <c r="AQ9" s="2" t="s">
        <v>4</v>
      </c>
      <c r="AR9" s="2" t="s">
        <v>19</v>
      </c>
      <c r="AS9" s="2" t="s">
        <v>7</v>
      </c>
      <c r="AT9" s="2" t="s">
        <v>10</v>
      </c>
      <c r="AU9" s="2" t="s">
        <v>50</v>
      </c>
      <c r="AV9" s="2" t="s">
        <v>15</v>
      </c>
      <c r="AW9" s="2" t="s">
        <v>11</v>
      </c>
      <c r="AX9" s="2" t="s">
        <v>13</v>
      </c>
      <c r="AY9" s="2" t="s">
        <v>54</v>
      </c>
      <c r="AZ9" s="2" t="s">
        <v>11</v>
      </c>
      <c r="BA9" s="2"/>
      <c r="BU9" s="2"/>
      <c r="BV9" s="2"/>
      <c r="BW9" s="2"/>
      <c r="BX9" s="2"/>
      <c r="BY9" s="2"/>
    </row>
    <row r="11" spans="1:77">
      <c r="A11" s="11"/>
      <c r="B11" s="11"/>
      <c r="C11" s="11"/>
      <c r="D11" s="11"/>
      <c r="E11" s="11"/>
      <c r="F11" s="11"/>
      <c r="G11" s="11"/>
      <c r="H11" s="11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</sheetData>
  <mergeCells count="5">
    <mergeCell ref="A11:H11"/>
    <mergeCell ref="A1:E2"/>
    <mergeCell ref="A3:E4"/>
    <mergeCell ref="A9:H9"/>
    <mergeCell ref="A7:H7"/>
  </mergeCells>
  <pageMargins left="0.7" right="0.7" top="0.75" bottom="0.75" header="0.3" footer="0.3"/>
  <pageSetup paperSize="9" orientation="portrait" horizontalDpi="0" verticalDpi="0" r:id="rId1"/>
  <legacyDrawing r:id="rId2"/>
  <controls>
    <control shapeId="4103" r:id="rId3" name="CommandButton2"/>
    <control shapeId="4097" r:id="rId4" name="TextBox1"/>
    <control shapeId="4100" r:id="rId5" name="TextBox2"/>
    <control shapeId="4101" r:id="rId6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M19"/>
  <sheetViews>
    <sheetView workbookViewId="0">
      <selection activeCell="Z1" sqref="Z1:Z1048576"/>
    </sheetView>
  </sheetViews>
  <sheetFormatPr defaultColWidth="3" defaultRowHeight="15"/>
  <sheetData>
    <row r="1" spans="1:10">
      <c r="A1" s="12" t="s">
        <v>48</v>
      </c>
      <c r="B1" s="12"/>
      <c r="C1" s="12"/>
    </row>
    <row r="2" spans="1:10">
      <c r="A2" s="12"/>
      <c r="B2" s="12"/>
      <c r="C2" s="12"/>
    </row>
    <row r="3" spans="1:10">
      <c r="A3" s="12" t="s">
        <v>49</v>
      </c>
      <c r="B3" s="12"/>
      <c r="C3" s="12"/>
    </row>
    <row r="4" spans="1:10">
      <c r="A4" s="12"/>
      <c r="B4" s="12"/>
      <c r="C4" s="12"/>
    </row>
    <row r="6" spans="1:10">
      <c r="A6" s="14" t="s">
        <v>53</v>
      </c>
      <c r="B6" s="14"/>
      <c r="C6" s="14"/>
      <c r="D6" s="14"/>
      <c r="E6" s="14"/>
      <c r="F6" s="14"/>
      <c r="G6" s="14"/>
    </row>
    <row r="7" spans="1:10">
      <c r="B7" s="2" t="s">
        <v>0</v>
      </c>
      <c r="C7" s="2" t="s">
        <v>1</v>
      </c>
      <c r="D7" s="2" t="s">
        <v>9</v>
      </c>
      <c r="E7" s="2" t="s">
        <v>21</v>
      </c>
      <c r="F7" s="2" t="s">
        <v>17</v>
      </c>
    </row>
    <row r="8" spans="1:10">
      <c r="A8" s="2"/>
      <c r="B8" s="2" t="s">
        <v>13</v>
      </c>
      <c r="C8" s="2" t="s">
        <v>5</v>
      </c>
      <c r="D8" s="2" t="s">
        <v>6</v>
      </c>
      <c r="E8" s="2" t="s">
        <v>18</v>
      </c>
      <c r="F8" s="2" t="s">
        <v>19</v>
      </c>
    </row>
    <row r="9" spans="1:10">
      <c r="A9" s="2"/>
      <c r="B9" s="2" t="s">
        <v>14</v>
      </c>
      <c r="C9" s="2" t="s">
        <v>11</v>
      </c>
      <c r="D9" s="2" t="s">
        <v>20</v>
      </c>
      <c r="E9" s="2" t="s">
        <v>4</v>
      </c>
      <c r="F9" s="2" t="s">
        <v>10</v>
      </c>
    </row>
    <row r="10" spans="1:10">
      <c r="A10" s="2"/>
      <c r="B10" s="2" t="s">
        <v>22</v>
      </c>
      <c r="C10" s="2" t="s">
        <v>2</v>
      </c>
      <c r="D10" s="2" t="s">
        <v>7</v>
      </c>
      <c r="E10" s="2" t="s">
        <v>8</v>
      </c>
      <c r="F10" s="2" t="s">
        <v>12</v>
      </c>
    </row>
    <row r="11" spans="1:10">
      <c r="A11" s="2"/>
      <c r="B11" s="2" t="s">
        <v>23</v>
      </c>
      <c r="C11" s="2" t="s">
        <v>15</v>
      </c>
      <c r="D11" s="2" t="s">
        <v>24</v>
      </c>
      <c r="E11" s="2" t="s">
        <v>16</v>
      </c>
      <c r="F11" s="2" t="s">
        <v>3</v>
      </c>
    </row>
    <row r="12" spans="1:10">
      <c r="A12" s="2"/>
      <c r="B12" s="2"/>
      <c r="C12" s="2"/>
      <c r="D12" s="2"/>
      <c r="E12" s="2"/>
      <c r="F12" s="2"/>
    </row>
    <row r="13" spans="1:10">
      <c r="A13" s="14" t="s">
        <v>38</v>
      </c>
      <c r="B13" s="14"/>
      <c r="C13" s="14"/>
      <c r="D13" s="14"/>
      <c r="E13" s="14"/>
      <c r="F13" s="14"/>
      <c r="G13" s="14"/>
    </row>
    <row r="15" spans="1:10">
      <c r="A15" t="s">
        <v>4</v>
      </c>
      <c r="B15" t="s">
        <v>1</v>
      </c>
      <c r="C15" t="s">
        <v>54</v>
      </c>
      <c r="D15" t="s">
        <v>15</v>
      </c>
      <c r="E15" t="s">
        <v>16</v>
      </c>
      <c r="F15" t="s">
        <v>5</v>
      </c>
      <c r="G15" t="s">
        <v>6</v>
      </c>
      <c r="H15" t="s">
        <v>7</v>
      </c>
      <c r="I15" t="s">
        <v>8</v>
      </c>
      <c r="J15" t="s">
        <v>16</v>
      </c>
    </row>
    <row r="17" spans="1:13">
      <c r="A17" t="s">
        <v>11</v>
      </c>
      <c r="B17" t="s">
        <v>21</v>
      </c>
      <c r="C17" t="s">
        <v>2</v>
      </c>
      <c r="D17" t="s">
        <v>1</v>
      </c>
      <c r="E17" t="s">
        <v>15</v>
      </c>
      <c r="F17" t="s">
        <v>18</v>
      </c>
      <c r="G17" t="s">
        <v>20</v>
      </c>
      <c r="H17" t="s">
        <v>24</v>
      </c>
      <c r="I17" t="s">
        <v>16</v>
      </c>
      <c r="J17" t="s">
        <v>21</v>
      </c>
    </row>
    <row r="19" spans="1:13">
      <c r="M19" s="3"/>
    </row>
  </sheetData>
  <mergeCells count="4">
    <mergeCell ref="A1:C2"/>
    <mergeCell ref="A3:C4"/>
    <mergeCell ref="A6:G6"/>
    <mergeCell ref="A13:G13"/>
  </mergeCells>
  <pageMargins left="0.7" right="0.7" top="0.75" bottom="0.75" header="0.3" footer="0.3"/>
  <pageSetup paperSize="9" orientation="portrait" horizontalDpi="0" verticalDpi="0" r:id="rId1"/>
  <legacyDrawing r:id="rId2"/>
  <controls>
    <control shapeId="5121" r:id="rId3" name="TextBox1"/>
    <control shapeId="5122" r:id="rId4" name="TextBox2"/>
    <control shapeId="5123" r:id="rId5" name="CommandButton1"/>
    <control shapeId="5125" r:id="rId6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menu</vt:lpstr>
      <vt:lpstr>symetric</vt:lpstr>
      <vt:lpstr>asymetric</vt:lpstr>
      <vt:lpstr>data</vt:lpstr>
      <vt:lpstr>Arkusz2</vt:lpstr>
      <vt:lpstr>visualizationCaesar</vt:lpstr>
      <vt:lpstr>visualizationPlayfair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2016-04-17T22:23:08Z</dcterms:modified>
</cp:coreProperties>
</file>