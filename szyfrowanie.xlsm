
<file path=[Content_Types].xml><?xml version="1.0" encoding="utf-8"?>
<Types xmlns="http://schemas.openxmlformats.org/package/2006/content-types">
  <Override PartName="/xl/activeX/activeX2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activeX/activeX16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7.xml" ContentType="application/vnd.ms-office.activeX+xml"/>
  <Override PartName="/xl/activeX/activeX14.bin" ContentType="application/vnd.ms-office.activeX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Default Extension="emf" ContentType="image/x-emf"/>
  <Override PartName="/xl/activeX/activeX5.xml" ContentType="application/vnd.ms-office.activeX+xml"/>
  <Override PartName="/xl/activeX/activeX6.xml" ContentType="application/vnd.ms-office.activeX+xml"/>
  <Default Extension="jpeg" ContentType="image/jpeg"/>
  <Override PartName="/xl/activeX/activeX11.bin" ContentType="application/vnd.ms-office.activeX"/>
  <Override PartName="/xl/activeX/activeX12.bin" ContentType="application/vnd.ms-office.activeX"/>
  <Override PartName="/xl/activeX/activeX17.xml" ContentType="application/vnd.ms-office.activeX+xml"/>
  <Override PartName="/xl/activeX/activeX18.xml" ContentType="application/vnd.ms-office.activeX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drawings/drawing2.xml" ContentType="application/vnd.openxmlformats-officedocument.drawing+xml"/>
  <Override PartName="/xl/activeX/activeX10.bin" ContentType="application/vnd.ms-office.activeX"/>
  <Override PartName="/xl/activeX/activeX15.xml" ContentType="application/vnd.ms-office.activeX+xml"/>
  <Override PartName="/xl/activeX/activeX16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drawings/drawing1.xml" ContentType="application/vnd.openxmlformats-officedocument.drawing+xml"/>
  <Override PartName="/xl/activeX/activeX13.xml" ContentType="application/vnd.ms-office.activeX+xml"/>
  <Override PartName="/xl/activeX/activeX14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activeX/activeX12.xml" ContentType="application/vnd.ms-office.activeX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activeX/activeX17.bin" ContentType="application/vnd.ms-office.activeX"/>
  <Override PartName="/xl/activeX/activeX18.bin" ContentType="application/vnd.ms-office.activeX"/>
  <Override PartName="/docProps/core.xml" ContentType="application/vnd.openxmlformats-package.core-properties+xml"/>
  <Default Extension="bin" ContentType="application/vnd.openxmlformats-officedocument.spreadsheetml.printerSettings"/>
  <Override PartName="/xl/activeX/activeX3.bin" ContentType="application/vnd.ms-office.activeX"/>
  <Default Extension="png" ContentType="image/png"/>
  <Override PartName="/xl/activeX/activeX15.bin" ContentType="application/vnd.ms-office.activeX"/>
  <Override PartName="/xl/activeX/activeX1.bin" ContentType="application/vnd.ms-office.activeX"/>
  <Override PartName="/xl/activeX/activeX8.xml" ContentType="application/vnd.ms-office.activeX+xml"/>
  <Override PartName="/xl/activeX/activeX13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en_skoroszyt"/>
  <bookViews>
    <workbookView xWindow="0" yWindow="0" windowWidth="19200" windowHeight="11505" activeTab="2"/>
  </bookViews>
  <sheets>
    <sheet name="menu" sheetId="1" r:id="rId1"/>
    <sheet name="symetric" sheetId="3" r:id="rId2"/>
    <sheet name="asymetric" sheetId="4" r:id="rId3"/>
    <sheet name="data" sheetId="5" state="hidden" r:id="rId4"/>
    <sheet name="Arkusz2" sheetId="2" state="hidden" r:id="rId5"/>
    <sheet name="visualizationCaesar" sheetId="6" r:id="rId6"/>
    <sheet name="visualizationPlayfair" sheetId="7" r:id="rId7"/>
  </sheets>
  <functionGroups/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29" i="2"/>
  <c r="N37"/>
  <c r="N45"/>
  <c r="N53"/>
  <c r="N61"/>
  <c r="N69"/>
  <c r="N77"/>
  <c r="N85"/>
  <c r="N93"/>
  <c r="N101"/>
  <c r="N109"/>
  <c r="N117"/>
  <c r="N125"/>
  <c r="N133"/>
  <c r="N141"/>
  <c r="N149"/>
  <c r="N24"/>
  <c r="N32"/>
  <c r="N40"/>
  <c r="N48"/>
  <c r="N56"/>
  <c r="N64"/>
  <c r="N72"/>
  <c r="N80"/>
  <c r="N88"/>
  <c r="N96"/>
  <c r="N104"/>
  <c r="N112"/>
  <c r="N120"/>
  <c r="N128"/>
  <c r="N136"/>
  <c r="N146"/>
  <c r="N152"/>
  <c r="N11"/>
  <c r="N19"/>
  <c r="N10"/>
  <c r="N18"/>
  <c r="I9"/>
  <c r="J3"/>
  <c r="K8"/>
  <c r="N75"/>
  <c r="N139"/>
  <c r="N22"/>
  <c r="N54"/>
  <c r="N78"/>
  <c r="N102"/>
  <c r="N126"/>
  <c r="N17"/>
  <c r="J5"/>
  <c r="J17"/>
  <c r="N27"/>
  <c r="N35"/>
  <c r="N43"/>
  <c r="N51"/>
  <c r="N67"/>
  <c r="N83"/>
  <c r="N99"/>
  <c r="N107"/>
  <c r="N115"/>
  <c r="N123"/>
  <c r="N131"/>
  <c r="N147"/>
  <c r="N46"/>
  <c r="N62"/>
  <c r="N94"/>
  <c r="N134"/>
  <c r="N9"/>
  <c r="J1"/>
  <c r="J14"/>
  <c r="N25"/>
  <c r="N33"/>
  <c r="N41"/>
  <c r="N49"/>
  <c r="N57"/>
  <c r="N65"/>
  <c r="N73"/>
  <c r="N81"/>
  <c r="N89"/>
  <c r="N97"/>
  <c r="N105"/>
  <c r="N113"/>
  <c r="N121"/>
  <c r="N129"/>
  <c r="N137"/>
  <c r="N145"/>
  <c r="N153"/>
  <c r="N28"/>
  <c r="N36"/>
  <c r="N44"/>
  <c r="N52"/>
  <c r="N60"/>
  <c r="N68"/>
  <c r="N76"/>
  <c r="N84"/>
  <c r="N92"/>
  <c r="N100"/>
  <c r="N108"/>
  <c r="N116"/>
  <c r="N124"/>
  <c r="N132"/>
  <c r="N140"/>
  <c r="N144"/>
  <c r="N7"/>
  <c r="N15"/>
  <c r="N6"/>
  <c r="N14"/>
  <c r="N21"/>
  <c r="K18"/>
  <c r="I8"/>
  <c r="K1"/>
  <c r="K12"/>
  <c r="K13"/>
  <c r="J2"/>
  <c r="N59"/>
  <c r="N38"/>
  <c r="N86"/>
  <c r="N118"/>
  <c r="N148"/>
  <c r="N16"/>
  <c r="J18"/>
  <c r="N23"/>
  <c r="N31"/>
  <c r="N39"/>
  <c r="N47"/>
  <c r="N55"/>
  <c r="N63"/>
  <c r="N71"/>
  <c r="N79"/>
  <c r="N87"/>
  <c r="N95"/>
  <c r="N103"/>
  <c r="N111"/>
  <c r="N119"/>
  <c r="N127"/>
  <c r="N135"/>
  <c r="N143"/>
  <c r="N151"/>
  <c r="N26"/>
  <c r="N34"/>
  <c r="N42"/>
  <c r="N50"/>
  <c r="N58"/>
  <c r="N66"/>
  <c r="N74"/>
  <c r="N82"/>
  <c r="N90"/>
  <c r="N98"/>
  <c r="N106"/>
  <c r="N114"/>
  <c r="N122"/>
  <c r="N130"/>
  <c r="N138"/>
  <c r="N150"/>
  <c r="N5"/>
  <c r="N13"/>
  <c r="N4"/>
  <c r="N12"/>
  <c r="N20"/>
  <c r="J13"/>
  <c r="I10"/>
  <c r="J16"/>
  <c r="J12"/>
  <c r="J4"/>
  <c r="K15"/>
  <c r="K4"/>
  <c r="K14"/>
  <c r="K17"/>
  <c r="K16"/>
  <c r="K5"/>
  <c r="N91"/>
  <c r="N30"/>
  <c r="N70"/>
  <c r="N110"/>
  <c r="N142"/>
  <c r="N8"/>
  <c r="J15"/>
  <c r="K3"/>
  <c r="K2"/>
</calcChain>
</file>

<file path=xl/sharedStrings.xml><?xml version="1.0" encoding="utf-8"?>
<sst xmlns="http://schemas.openxmlformats.org/spreadsheetml/2006/main" count="57" uniqueCount="54">
  <si>
    <t>m</t>
  </si>
  <si>
    <t>a</t>
  </si>
  <si>
    <t>r</t>
  </si>
  <si>
    <t>z</t>
  </si>
  <si>
    <t>n</t>
  </si>
  <si>
    <t>d</t>
  </si>
  <si>
    <t>e</t>
  </si>
  <si>
    <t>s</t>
  </si>
  <si>
    <t>t</t>
  </si>
  <si>
    <t>l</t>
  </si>
  <si>
    <t>o</t>
  </si>
  <si>
    <t>i</t>
  </si>
  <si>
    <t>u</t>
  </si>
  <si>
    <t>c</t>
  </si>
  <si>
    <t>h</t>
  </si>
  <si>
    <t>w</t>
  </si>
  <si>
    <t>y</t>
  </si>
  <si>
    <t>b</t>
  </si>
  <si>
    <t>f</t>
  </si>
  <si>
    <t>g</t>
  </si>
  <si>
    <t>k</t>
  </si>
  <si>
    <t>p</t>
  </si>
  <si>
    <t>q</t>
  </si>
  <si>
    <t>v</t>
  </si>
  <si>
    <t>x</t>
  </si>
  <si>
    <t>wikipediajestnajlepsza</t>
  </si>
  <si>
    <t>szyfr</t>
  </si>
  <si>
    <t>student</t>
  </si>
  <si>
    <t>magister</t>
  </si>
  <si>
    <t>alejuzniema</t>
  </si>
  <si>
    <t>alamialakotaprzezdwalata</t>
  </si>
  <si>
    <t>nicmnieniepokona</t>
  </si>
  <si>
    <t>hahaha</t>
  </si>
  <si>
    <t>hidethegoldinthetreestump</t>
  </si>
  <si>
    <t>playfairexample</t>
  </si>
  <si>
    <t>combo caesar</t>
  </si>
  <si>
    <t>szyfruj</t>
  </si>
  <si>
    <t>deszyfruj</t>
  </si>
  <si>
    <t>Szyfrowanie</t>
  </si>
  <si>
    <t>to-do</t>
  </si>
  <si>
    <t>przypisy ograniczające (sp[rawdzanie pól?)</t>
  </si>
  <si>
    <t>Kryptografia asymetryczna</t>
  </si>
  <si>
    <t>Kryptografia symetryczna</t>
  </si>
  <si>
    <t>W tym rodzaju kryptografii wykorzystujemy jeden klucz zarówno do szyfrowania jak i deszyfrowania (można stosować rózne klucze ale tylko wtedy, gdy jest możliwe wyznaczenie klucza szyfrującego z deszyfrującego i odwrotnie). To oznacza, że obie strony podczas komunikacji muszą znać ten klucz.</t>
  </si>
  <si>
    <t>Przykłady</t>
  </si>
  <si>
    <t xml:space="preserve">W kryptografii asymetrycznej wykorzystujemy dwa klucze - publiczny i prywatny. Jeśli chcemy wysłać do kogoś wiadomość szyfrujemy ją za pomocą klucza publicznego i wysyłamy. Osoba ta po otrzymaniu takiej wiadomości deszyfruje ją za pomocą swojego klucza prywatnego. Algorytmy w tej kryptografii stosują własności matematyczne, które są łatwe do wykowania w jedną stronę i trudne do odtworzenia (np. pomnożenie liczb jest proste, ale rozkład danej liczby na czynniki pierwsze już trudny)  </t>
  </si>
  <si>
    <t>Przykład</t>
  </si>
  <si>
    <t>klucz</t>
  </si>
  <si>
    <t>tekst</t>
  </si>
  <si>
    <t>tekst jawny</t>
  </si>
  <si>
    <t>tekst ukryty</t>
  </si>
  <si>
    <t>(duże lub małe litery alfabetu łacińskiego, bez inneych znaków, mogą występować spacje)</t>
  </si>
  <si>
    <t>(tylko małe litery alfabetu łacińskiego, bez innych znaków, bez spacji)</t>
  </si>
  <si>
    <t>(liczba najlepiej z zakresu 1 -26)</t>
  </si>
</sst>
</file>

<file path=xl/styles.xml><?xml version="1.0" encoding="utf-8"?>
<styleSheet xmlns="http://schemas.openxmlformats.org/spreadsheetml/2006/main">
  <fonts count="9">
    <font>
      <sz val="11"/>
      <color theme="1"/>
      <name val="Calibri"/>
      <family val="2"/>
      <charset val="238"/>
      <scheme val="minor"/>
    </font>
    <font>
      <sz val="11"/>
      <color rgb="FF252525"/>
      <name val="Arial"/>
      <family val="2"/>
      <charset val="238"/>
    </font>
    <font>
      <b/>
      <sz val="36"/>
      <color theme="1"/>
      <name val="Calibri"/>
      <family val="2"/>
      <charset val="238"/>
      <scheme val="minor"/>
    </font>
    <font>
      <sz val="36"/>
      <color theme="1"/>
      <name val="Calibri"/>
      <family val="2"/>
      <charset val="238"/>
      <scheme val="minor"/>
    </font>
    <font>
      <b/>
      <sz val="22"/>
      <color theme="1"/>
      <name val="Calibri"/>
      <family val="2"/>
      <charset val="238"/>
      <scheme val="minor"/>
    </font>
    <font>
      <sz val="22"/>
      <color theme="1"/>
      <name val="Calibri"/>
      <family val="2"/>
      <charset val="238"/>
      <scheme val="minor"/>
    </font>
    <font>
      <sz val="6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9"/>
      <color theme="1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/>
    <xf numFmtId="0" fontId="0" fillId="0" borderId="0" xfId="0" applyFill="1"/>
    <xf numFmtId="0" fontId="0" fillId="0" borderId="0" xfId="0" applyAlignment="1">
      <alignment horizontal="center" vertical="center"/>
    </xf>
    <xf numFmtId="0" fontId="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0" fillId="0" borderId="0" xfId="0" applyFill="1" applyAlignment="1"/>
    <xf numFmtId="0" fontId="0" fillId="2" borderId="0" xfId="0" applyFill="1" applyAlignment="1">
      <alignment horizontal="center" vertical="center"/>
    </xf>
    <xf numFmtId="0" fontId="0" fillId="2" borderId="0" xfId="0" applyFill="1" applyAlignment="1"/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0" fillId="0" borderId="0" xfId="0" applyAlignment="1">
      <alignment horizontal="left"/>
    </xf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4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4" Type="http://schemas.openxmlformats.org/officeDocument/2006/relationships/image" Target="../media/image1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18.emf"/><Relationship Id="rId1" Type="http://schemas.openxmlformats.org/officeDocument/2006/relationships/image" Target="../media/image17.emf"/><Relationship Id="rId4" Type="http://schemas.openxmlformats.org/officeDocument/2006/relationships/image" Target="../media/image2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8</xdr:row>
      <xdr:rowOff>9525</xdr:rowOff>
    </xdr:from>
    <xdr:to>
      <xdr:col>14</xdr:col>
      <xdr:colOff>600075</xdr:colOff>
      <xdr:row>26</xdr:row>
      <xdr:rowOff>0</xdr:rowOff>
    </xdr:to>
    <xdr:pic>
      <xdr:nvPicPr>
        <xdr:cNvPr id="2053" name="Picture 5" descr="http://www.cryptography.ovh.org/filmy/symetryczne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7150" y="1533525"/>
          <a:ext cx="9077325" cy="3419475"/>
        </a:xfrm>
        <a:prstGeom prst="rect">
          <a:avLst/>
        </a:prstGeom>
        <a:noFill/>
      </xdr:spPr>
    </xdr:pic>
    <xdr:clientData/>
  </xdr:twoCellAnchor>
  <xdr:twoCellAnchor>
    <xdr:from>
      <xdr:col>12</xdr:col>
      <xdr:colOff>485776</xdr:colOff>
      <xdr:row>24</xdr:row>
      <xdr:rowOff>161926</xdr:rowOff>
    </xdr:from>
    <xdr:to>
      <xdr:col>15</xdr:col>
      <xdr:colOff>9526</xdr:colOff>
      <xdr:row>26</xdr:row>
      <xdr:rowOff>9525</xdr:rowOff>
    </xdr:to>
    <xdr:sp macro="" textlink="">
      <xdr:nvSpPr>
        <xdr:cNvPr id="3" name="pole tekstowe 2"/>
        <xdr:cNvSpPr txBox="1"/>
      </xdr:nvSpPr>
      <xdr:spPr>
        <a:xfrm>
          <a:off x="7800976" y="4733926"/>
          <a:ext cx="1352550" cy="2285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pl-PL" sz="800" b="0" i="0" u="none" strike="noStrike">
              <a:solidFill>
                <a:schemeClr val="dk1"/>
              </a:solidFill>
              <a:latin typeface="+mn-lt"/>
              <a:ea typeface="+mn-ea"/>
              <a:cs typeface="+mn-cs"/>
              <a:hlinkClick xmlns:r="http://schemas.openxmlformats.org/officeDocument/2006/relationships" r:id=""/>
            </a:rPr>
            <a:t>www.cryptography.ovh.org</a:t>
          </a:r>
          <a:endParaRPr lang="pl-PL" sz="8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19049</xdr:colOff>
      <xdr:row>8</xdr:row>
      <xdr:rowOff>9525</xdr:rowOff>
    </xdr:from>
    <xdr:to>
      <xdr:col>14</xdr:col>
      <xdr:colOff>600074</xdr:colOff>
      <xdr:row>25</xdr:row>
      <xdr:rowOff>180975</xdr:rowOff>
    </xdr:to>
    <xdr:pic>
      <xdr:nvPicPr>
        <xdr:cNvPr id="3076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9049" y="1533525"/>
          <a:ext cx="9115425" cy="340995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6" Type="http://schemas.openxmlformats.org/officeDocument/2006/relationships/control" Target="../activeX/activeX7.xml"/><Relationship Id="rId5" Type="http://schemas.openxmlformats.org/officeDocument/2006/relationships/control" Target="../activeX/activeX6.xml"/><Relationship Id="rId4" Type="http://schemas.openxmlformats.org/officeDocument/2006/relationships/control" Target="../activeX/activeX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0.xml"/><Relationship Id="rId5" Type="http://schemas.openxmlformats.org/officeDocument/2006/relationships/control" Target="../activeX/activeX9.xml"/><Relationship Id="rId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4.xml"/><Relationship Id="rId5" Type="http://schemas.openxmlformats.org/officeDocument/2006/relationships/control" Target="../activeX/activeX13.xml"/><Relationship Id="rId4" Type="http://schemas.openxmlformats.org/officeDocument/2006/relationships/control" Target="../activeX/activeX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8.xml"/><Relationship Id="rId5" Type="http://schemas.openxmlformats.org/officeDocument/2006/relationships/control" Target="../activeX/activeX17.xml"/><Relationship Id="rId4" Type="http://schemas.openxmlformats.org/officeDocument/2006/relationships/control" Target="../activeX/activeX1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"/>
  <dimension ref="E7:L14"/>
  <sheetViews>
    <sheetView workbookViewId="0">
      <selection activeCell="M23" sqref="M23"/>
    </sheetView>
  </sheetViews>
  <sheetFormatPr defaultRowHeight="15"/>
  <sheetData>
    <row r="7" spans="5:12">
      <c r="E7" s="5" t="s">
        <v>38</v>
      </c>
      <c r="F7" s="6"/>
      <c r="G7" s="6"/>
      <c r="H7" s="6"/>
      <c r="I7" s="6"/>
      <c r="J7" s="6"/>
      <c r="K7" s="6"/>
      <c r="L7" s="6"/>
    </row>
    <row r="8" spans="5:12">
      <c r="E8" s="6"/>
      <c r="F8" s="6"/>
      <c r="G8" s="6"/>
      <c r="H8" s="6"/>
      <c r="I8" s="6"/>
      <c r="J8" s="6"/>
      <c r="K8" s="6"/>
      <c r="L8" s="6"/>
    </row>
    <row r="9" spans="5:12">
      <c r="E9" s="6"/>
      <c r="F9" s="6"/>
      <c r="G9" s="6"/>
      <c r="H9" s="6"/>
      <c r="I9" s="6"/>
      <c r="J9" s="6"/>
      <c r="K9" s="6"/>
      <c r="L9" s="6"/>
    </row>
    <row r="10" spans="5:12">
      <c r="E10" s="6"/>
      <c r="F10" s="6"/>
      <c r="G10" s="6"/>
      <c r="H10" s="6"/>
      <c r="I10" s="6"/>
      <c r="J10" s="6"/>
      <c r="K10" s="6"/>
      <c r="L10" s="6"/>
    </row>
    <row r="11" spans="5:12">
      <c r="E11" s="6"/>
      <c r="F11" s="6"/>
      <c r="G11" s="6"/>
      <c r="H11" s="6"/>
      <c r="I11" s="6"/>
      <c r="J11" s="6"/>
      <c r="K11" s="6"/>
      <c r="L11" s="6"/>
    </row>
    <row r="12" spans="5:12">
      <c r="E12" s="6"/>
      <c r="F12" s="6"/>
      <c r="G12" s="6"/>
      <c r="H12" s="6"/>
      <c r="I12" s="6"/>
      <c r="J12" s="6"/>
      <c r="K12" s="6"/>
      <c r="L12" s="6"/>
    </row>
    <row r="13" spans="5:12">
      <c r="E13" s="6"/>
      <c r="F13" s="6"/>
      <c r="G13" s="6"/>
      <c r="H13" s="6"/>
      <c r="I13" s="6"/>
      <c r="J13" s="6"/>
      <c r="K13" s="6"/>
      <c r="L13" s="6"/>
    </row>
    <row r="14" spans="5:12">
      <c r="E14" s="6"/>
      <c r="F14" s="6"/>
      <c r="G14" s="6"/>
      <c r="H14" s="6"/>
      <c r="I14" s="6"/>
      <c r="J14" s="6"/>
      <c r="K14" s="6"/>
      <c r="L14" s="6"/>
    </row>
  </sheetData>
  <mergeCells count="1">
    <mergeCell ref="E7:L14"/>
  </mergeCells>
  <pageMargins left="0.7" right="0.7" top="0.75" bottom="0.75" header="0.3" footer="0.3"/>
  <pageSetup paperSize="9" orientation="portrait" horizontalDpi="0" verticalDpi="0" r:id="rId1"/>
  <legacyDrawing r:id="rId2"/>
  <controls>
    <control shapeId="1027" r:id="rId3" name="CommandButton1"/>
    <control shapeId="1028" r:id="rId4" name="CommandButton2"/>
    <control shapeId="1029" r:id="rId5" name="CommandButton3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3"/>
  <dimension ref="A3:O28"/>
  <sheetViews>
    <sheetView workbookViewId="0">
      <selection activeCell="R17" sqref="R17"/>
    </sheetView>
  </sheetViews>
  <sheetFormatPr defaultRowHeight="15"/>
  <sheetData>
    <row r="3" spans="1:15">
      <c r="A3" s="7" t="s">
        <v>42</v>
      </c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</row>
    <row r="4" spans="1:15">
      <c r="A4" s="8"/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</row>
    <row r="5" spans="1:15">
      <c r="A5" s="9" t="s">
        <v>43</v>
      </c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</row>
    <row r="6" spans="1:15">
      <c r="A6" s="9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</row>
    <row r="7" spans="1:15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</row>
    <row r="8" spans="1:15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</row>
    <row r="27" spans="1:15">
      <c r="A27" s="7" t="s">
        <v>44</v>
      </c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</row>
    <row r="28" spans="1:1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</row>
  </sheetData>
  <mergeCells count="3">
    <mergeCell ref="A3:O4"/>
    <mergeCell ref="A5:O8"/>
    <mergeCell ref="A27:O28"/>
  </mergeCells>
  <pageMargins left="0.7" right="0.7" top="0.75" bottom="0.75" header="0.3" footer="0.3"/>
  <drawing r:id="rId1"/>
  <legacyDrawing r:id="rId2"/>
  <controls>
    <control shapeId="2052" r:id="rId3" name="CommandButton2"/>
    <control shapeId="2051" r:id="rId4" name="CommandButton1"/>
    <control shapeId="2049" r:id="rId5" name="caesarB"/>
    <control shapeId="2050" r:id="rId6" name="playfairB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4"/>
  <dimension ref="A3:O28"/>
  <sheetViews>
    <sheetView tabSelected="1" workbookViewId="0">
      <selection activeCell="P23" sqref="P23"/>
    </sheetView>
  </sheetViews>
  <sheetFormatPr defaultRowHeight="15"/>
  <sheetData>
    <row r="3" spans="1:15">
      <c r="A3" s="7" t="s">
        <v>41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</row>
    <row r="4" spans="1:1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</row>
    <row r="5" spans="1:15">
      <c r="A5" s="9" t="s">
        <v>45</v>
      </c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</row>
    <row r="6" spans="1:15">
      <c r="A6" s="9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</row>
    <row r="7" spans="1:15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</row>
    <row r="8" spans="1:15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</row>
    <row r="27" spans="1:15">
      <c r="A27" s="7" t="s">
        <v>46</v>
      </c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</row>
    <row r="28" spans="1:15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</row>
  </sheetData>
  <mergeCells count="3">
    <mergeCell ref="A3:O4"/>
    <mergeCell ref="A5:O8"/>
    <mergeCell ref="A27:O28"/>
  </mergeCells>
  <pageMargins left="0.7" right="0.7" top="0.75" bottom="0.75" header="0.3" footer="0.3"/>
  <pageSetup paperSize="9" orientation="portrait" horizontalDpi="0" verticalDpi="0" r:id="rId1"/>
  <drawing r:id="rId2"/>
  <legacyDrawing r:id="rId3"/>
  <controls>
    <control shapeId="3075" r:id="rId4" name="CommandButton3"/>
    <control shapeId="3074" r:id="rId5" name="CommandButton2"/>
    <control shapeId="3073" r:id="rId6" name="CommandButton1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Arkusz5"/>
  <dimension ref="A1:E3"/>
  <sheetViews>
    <sheetView workbookViewId="0">
      <selection activeCell="G16" sqref="G16"/>
    </sheetView>
  </sheetViews>
  <sheetFormatPr defaultRowHeight="15"/>
  <cols>
    <col min="1" max="1" width="16.7109375" customWidth="1"/>
    <col min="5" max="5" width="27.7109375" customWidth="1"/>
  </cols>
  <sheetData>
    <row r="1" spans="1:5">
      <c r="A1" t="s">
        <v>35</v>
      </c>
      <c r="E1" t="s">
        <v>39</v>
      </c>
    </row>
    <row r="2" spans="1:5">
      <c r="A2" t="s">
        <v>36</v>
      </c>
    </row>
    <row r="3" spans="1:5">
      <c r="A3" t="s">
        <v>37</v>
      </c>
      <c r="E3" t="s">
        <v>40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Arkusz2"/>
  <dimension ref="A1:N153"/>
  <sheetViews>
    <sheetView workbookViewId="0">
      <selection activeCell="J11" sqref="J11"/>
    </sheetView>
  </sheetViews>
  <sheetFormatPr defaultRowHeight="15"/>
  <cols>
    <col min="1" max="1" width="3.140625" customWidth="1"/>
    <col min="2" max="2" width="3.5703125" customWidth="1"/>
    <col min="3" max="3" width="5.140625" customWidth="1"/>
    <col min="4" max="4" width="3.28515625" customWidth="1"/>
    <col min="5" max="5" width="3.140625" customWidth="1"/>
    <col min="8" max="8" width="27.42578125" customWidth="1"/>
    <col min="9" max="9" width="16.140625" customWidth="1"/>
    <col min="10" max="10" width="28.7109375" customWidth="1"/>
    <col min="11" max="11" width="27" customWidth="1"/>
    <col min="14" max="14" width="13.42578125" customWidth="1"/>
  </cols>
  <sheetData>
    <row r="1" spans="1:14">
      <c r="A1" t="s">
        <v>0</v>
      </c>
      <c r="B1" t="s">
        <v>1</v>
      </c>
      <c r="C1" t="s">
        <v>19</v>
      </c>
      <c r="D1" t="s">
        <v>11</v>
      </c>
      <c r="E1" t="s">
        <v>7</v>
      </c>
      <c r="H1" t="s">
        <v>27</v>
      </c>
      <c r="I1" t="s">
        <v>28</v>
      </c>
      <c r="J1" t="str">
        <f>encryptPlayfair(H1,I1)</f>
        <v>mcnltorv</v>
      </c>
      <c r="K1" t="str">
        <f>decryptPlayfair(J1,I1)</f>
        <v>studentx</v>
      </c>
    </row>
    <row r="2" spans="1:14">
      <c r="A2" t="s">
        <v>8</v>
      </c>
      <c r="B2" t="s">
        <v>6</v>
      </c>
      <c r="C2" t="s">
        <v>2</v>
      </c>
      <c r="D2" t="s">
        <v>17</v>
      </c>
      <c r="E2" t="s">
        <v>13</v>
      </c>
      <c r="H2" t="s">
        <v>25</v>
      </c>
      <c r="I2" t="s">
        <v>26</v>
      </c>
      <c r="J2" t="str">
        <f>encryptPlayfair(H2,I2)</f>
        <v>vklkqdckcgarumcgqlmfsb</v>
      </c>
      <c r="K2" t="str">
        <f>decryptPlayfair(J2,I2)</f>
        <v>wikipediaiestnailepsza</v>
      </c>
    </row>
    <row r="3" spans="1:14">
      <c r="A3" t="s">
        <v>5</v>
      </c>
      <c r="B3" t="s">
        <v>18</v>
      </c>
      <c r="C3" t="s">
        <v>14</v>
      </c>
      <c r="D3" t="s">
        <v>20</v>
      </c>
      <c r="E3" t="s">
        <v>9</v>
      </c>
      <c r="H3" t="s">
        <v>30</v>
      </c>
      <c r="I3" t="s">
        <v>29</v>
      </c>
      <c r="J3" t="str">
        <f>encryptPlayfair(H3,I3)</f>
        <v>leezuleldsazqsmadoteelaz</v>
      </c>
      <c r="K3" t="str">
        <f>decryptPlayfair(J3,I3)</f>
        <v>alamialakotaprzezdwalata</v>
      </c>
    </row>
    <row r="4" spans="1:14">
      <c r="A4" t="s">
        <v>4</v>
      </c>
      <c r="B4" t="s">
        <v>10</v>
      </c>
      <c r="C4" t="s">
        <v>21</v>
      </c>
      <c r="D4" t="s">
        <v>22</v>
      </c>
      <c r="E4" t="s">
        <v>12</v>
      </c>
      <c r="H4" t="s">
        <v>31</v>
      </c>
      <c r="I4" t="s">
        <v>32</v>
      </c>
      <c r="J4" t="str">
        <f>encryptPlayfair(H4,I4)</f>
        <v>ogaoogglkflpipmb</v>
      </c>
      <c r="K4" t="str">
        <f>decryptPlayfair(J4,I4)</f>
        <v>nicmnieniepokona</v>
      </c>
      <c r="M4">
        <v>1</v>
      </c>
      <c r="N4" t="str">
        <f t="shared" ref="N4:N67" si="0">toColumnId(M4)</f>
        <v>A</v>
      </c>
    </row>
    <row r="5" spans="1:14">
      <c r="A5" t="s">
        <v>23</v>
      </c>
      <c r="B5" t="s">
        <v>15</v>
      </c>
      <c r="C5" t="s">
        <v>24</v>
      </c>
      <c r="D5" t="s">
        <v>16</v>
      </c>
      <c r="E5" t="s">
        <v>3</v>
      </c>
      <c r="H5" s="1" t="s">
        <v>33</v>
      </c>
      <c r="I5" t="s">
        <v>34</v>
      </c>
      <c r="J5" t="str">
        <f>encryptPlayfair(H5,I5)</f>
        <v>bmodzbxdnabekudmuixxkzzryi</v>
      </c>
      <c r="K5" t="str">
        <f>decryptPlayfair(J5,I5)</f>
        <v>hidethegoldinthetreestumpx</v>
      </c>
      <c r="M5">
        <v>2</v>
      </c>
      <c r="N5" t="str">
        <f t="shared" si="0"/>
        <v>B</v>
      </c>
    </row>
    <row r="6" spans="1:14">
      <c r="C6">
        <v>287</v>
      </c>
      <c r="M6">
        <v>3</v>
      </c>
      <c r="N6" t="str">
        <f t="shared" si="0"/>
        <v>C</v>
      </c>
    </row>
    <row r="7" spans="1:14">
      <c r="M7">
        <v>4</v>
      </c>
      <c r="N7" t="str">
        <f t="shared" si="0"/>
        <v>D</v>
      </c>
    </row>
    <row r="8" spans="1:14">
      <c r="D8">
        <v>43</v>
      </c>
      <c r="H8">
        <v>12</v>
      </c>
      <c r="I8">
        <f>euler(H8)</f>
        <v>4</v>
      </c>
      <c r="K8">
        <f>euler(120)</f>
        <v>32</v>
      </c>
      <c r="M8">
        <v>5</v>
      </c>
      <c r="N8" t="str">
        <f t="shared" si="0"/>
        <v>E</v>
      </c>
    </row>
    <row r="9" spans="1:14">
      <c r="H9">
        <v>2006</v>
      </c>
      <c r="I9">
        <f>euler(H9)</f>
        <v>928</v>
      </c>
      <c r="M9">
        <v>6</v>
      </c>
      <c r="N9" t="str">
        <f t="shared" si="0"/>
        <v>F</v>
      </c>
    </row>
    <row r="10" spans="1:14">
      <c r="A10">
        <v>1</v>
      </c>
      <c r="B10">
        <v>8</v>
      </c>
      <c r="C10">
        <v>9</v>
      </c>
      <c r="D10">
        <v>10</v>
      </c>
      <c r="E10">
        <v>6</v>
      </c>
      <c r="H10">
        <v>1980</v>
      </c>
      <c r="I10">
        <f>euler(H10)</f>
        <v>480</v>
      </c>
      <c r="M10">
        <v>7</v>
      </c>
      <c r="N10" t="str">
        <f t="shared" si="0"/>
        <v>G</v>
      </c>
    </row>
    <row r="11" spans="1:14">
      <c r="A11">
        <v>11</v>
      </c>
      <c r="B11">
        <v>2</v>
      </c>
      <c r="C11">
        <v>12</v>
      </c>
      <c r="D11">
        <v>3</v>
      </c>
      <c r="E11">
        <v>3</v>
      </c>
      <c r="J11">
        <v>13</v>
      </c>
      <c r="K11">
        <v>17</v>
      </c>
      <c r="L11">
        <v>19</v>
      </c>
      <c r="M11">
        <v>8</v>
      </c>
      <c r="N11" t="str">
        <f t="shared" si="0"/>
        <v>H</v>
      </c>
    </row>
    <row r="12" spans="1:14">
      <c r="A12">
        <v>13</v>
      </c>
      <c r="B12">
        <v>14</v>
      </c>
      <c r="C12">
        <v>0</v>
      </c>
      <c r="D12">
        <v>15</v>
      </c>
      <c r="E12">
        <v>16</v>
      </c>
      <c r="I12">
        <v>97</v>
      </c>
      <c r="J12">
        <f>encryptRSA(I12,$J$11,$K$11,$L$11)</f>
        <v>215</v>
      </c>
      <c r="K12" t="e">
        <f>decryptRSA(J12,$J$11,$K$11)</f>
        <v>#VALUE!</v>
      </c>
      <c r="M12">
        <v>9</v>
      </c>
      <c r="N12" t="str">
        <f t="shared" si="0"/>
        <v>I</v>
      </c>
    </row>
    <row r="13" spans="1:14">
      <c r="A13">
        <v>17</v>
      </c>
      <c r="B13">
        <v>18</v>
      </c>
      <c r="C13">
        <v>7</v>
      </c>
      <c r="D13">
        <v>4</v>
      </c>
      <c r="E13">
        <v>5</v>
      </c>
      <c r="I13">
        <v>123</v>
      </c>
      <c r="J13">
        <f t="shared" ref="J13:J18" si="1">encryptRSA(I13,$J$11,$K$11,$L$11)</f>
        <v>98</v>
      </c>
      <c r="K13" t="e">
        <f t="shared" ref="K13:K18" si="2">decryptRSA(J13,$J$11,$K$11)</f>
        <v>#VALUE!</v>
      </c>
      <c r="M13">
        <v>10</v>
      </c>
      <c r="N13" t="str">
        <f t="shared" si="0"/>
        <v>J</v>
      </c>
    </row>
    <row r="14" spans="1:14">
      <c r="A14">
        <v>19</v>
      </c>
      <c r="B14">
        <v>20</v>
      </c>
      <c r="C14">
        <v>21</v>
      </c>
      <c r="D14">
        <v>22</v>
      </c>
      <c r="E14">
        <v>23</v>
      </c>
      <c r="I14">
        <v>43</v>
      </c>
      <c r="J14">
        <f t="shared" si="1"/>
        <v>134</v>
      </c>
      <c r="K14" t="e">
        <f t="shared" si="2"/>
        <v>#VALUE!</v>
      </c>
      <c r="M14">
        <v>11</v>
      </c>
      <c r="N14" t="str">
        <f t="shared" si="0"/>
        <v>K</v>
      </c>
    </row>
    <row r="15" spans="1:14">
      <c r="I15">
        <v>43</v>
      </c>
      <c r="J15">
        <f t="shared" si="1"/>
        <v>134</v>
      </c>
      <c r="K15" t="e">
        <f>decryptRSA(J15,$J$11,$K$11)</f>
        <v>#VALUE!</v>
      </c>
      <c r="M15">
        <v>12</v>
      </c>
      <c r="N15" t="str">
        <f t="shared" si="0"/>
        <v>L</v>
      </c>
    </row>
    <row r="16" spans="1:14">
      <c r="I16">
        <v>12</v>
      </c>
      <c r="J16">
        <f t="shared" si="1"/>
        <v>181</v>
      </c>
      <c r="K16" t="e">
        <f>decryptRSA(J16,$J$11,$K$11)</f>
        <v>#VALUE!</v>
      </c>
      <c r="M16">
        <v>13</v>
      </c>
      <c r="N16" t="str">
        <f t="shared" si="0"/>
        <v>M</v>
      </c>
    </row>
    <row r="17" spans="9:14">
      <c r="I17">
        <v>31</v>
      </c>
      <c r="J17">
        <f>encryptRSA(I17,$J$11,$K$11,$L$11)</f>
        <v>177</v>
      </c>
      <c r="K17" t="e">
        <f t="shared" si="2"/>
        <v>#VALUE!</v>
      </c>
      <c r="M17">
        <v>14</v>
      </c>
      <c r="N17" t="str">
        <f t="shared" si="0"/>
        <v>N</v>
      </c>
    </row>
    <row r="18" spans="9:14">
      <c r="I18">
        <v>4</v>
      </c>
      <c r="J18">
        <f t="shared" si="1"/>
        <v>30</v>
      </c>
      <c r="K18" t="e">
        <f t="shared" si="2"/>
        <v>#VALUE!</v>
      </c>
      <c r="M18">
        <v>15</v>
      </c>
      <c r="N18" t="str">
        <f t="shared" si="0"/>
        <v>O</v>
      </c>
    </row>
    <row r="19" spans="9:14">
      <c r="M19">
        <v>16</v>
      </c>
      <c r="N19" t="str">
        <f t="shared" si="0"/>
        <v>P</v>
      </c>
    </row>
    <row r="20" spans="9:14">
      <c r="M20">
        <v>17</v>
      </c>
      <c r="N20" t="str">
        <f t="shared" si="0"/>
        <v>Q</v>
      </c>
    </row>
    <row r="21" spans="9:14">
      <c r="M21">
        <v>18</v>
      </c>
      <c r="N21" t="str">
        <f>toColumnId(M21)</f>
        <v>R</v>
      </c>
    </row>
    <row r="22" spans="9:14">
      <c r="M22">
        <v>19</v>
      </c>
      <c r="N22" t="str">
        <f t="shared" si="0"/>
        <v>S</v>
      </c>
    </row>
    <row r="23" spans="9:14">
      <c r="M23">
        <v>20</v>
      </c>
      <c r="N23" t="str">
        <f t="shared" si="0"/>
        <v>T</v>
      </c>
    </row>
    <row r="24" spans="9:14">
      <c r="M24">
        <v>21</v>
      </c>
      <c r="N24" t="str">
        <f t="shared" si="0"/>
        <v>U</v>
      </c>
    </row>
    <row r="25" spans="9:14">
      <c r="M25">
        <v>22</v>
      </c>
      <c r="N25" t="str">
        <f t="shared" si="0"/>
        <v>V</v>
      </c>
    </row>
    <row r="26" spans="9:14">
      <c r="M26">
        <v>23</v>
      </c>
      <c r="N26" t="str">
        <f t="shared" si="0"/>
        <v>W</v>
      </c>
    </row>
    <row r="27" spans="9:14">
      <c r="M27">
        <v>24</v>
      </c>
      <c r="N27" t="str">
        <f t="shared" si="0"/>
        <v>X</v>
      </c>
    </row>
    <row r="28" spans="9:14">
      <c r="M28">
        <v>25</v>
      </c>
      <c r="N28" t="str">
        <f t="shared" si="0"/>
        <v>Y</v>
      </c>
    </row>
    <row r="29" spans="9:14">
      <c r="M29">
        <v>26</v>
      </c>
      <c r="N29" t="str">
        <f t="shared" si="0"/>
        <v>Z</v>
      </c>
    </row>
    <row r="30" spans="9:14">
      <c r="M30">
        <v>27</v>
      </c>
      <c r="N30" t="str">
        <f t="shared" si="0"/>
        <v>AA</v>
      </c>
    </row>
    <row r="31" spans="9:14">
      <c r="M31">
        <v>28</v>
      </c>
      <c r="N31" t="str">
        <f t="shared" si="0"/>
        <v>AB</v>
      </c>
    </row>
    <row r="32" spans="9:14">
      <c r="M32">
        <v>29</v>
      </c>
      <c r="N32" t="str">
        <f t="shared" si="0"/>
        <v>AC</v>
      </c>
    </row>
    <row r="33" spans="13:14">
      <c r="M33">
        <v>30</v>
      </c>
      <c r="N33" t="str">
        <f t="shared" si="0"/>
        <v>AD</v>
      </c>
    </row>
    <row r="34" spans="13:14">
      <c r="M34">
        <v>31</v>
      </c>
      <c r="N34" t="str">
        <f t="shared" si="0"/>
        <v>AE</v>
      </c>
    </row>
    <row r="35" spans="13:14">
      <c r="M35">
        <v>32</v>
      </c>
      <c r="N35" t="str">
        <f t="shared" si="0"/>
        <v>AF</v>
      </c>
    </row>
    <row r="36" spans="13:14">
      <c r="M36">
        <v>33</v>
      </c>
      <c r="N36" t="str">
        <f t="shared" si="0"/>
        <v>AG</v>
      </c>
    </row>
    <row r="37" spans="13:14">
      <c r="M37">
        <v>34</v>
      </c>
      <c r="N37" t="str">
        <f t="shared" si="0"/>
        <v>AH</v>
      </c>
    </row>
    <row r="38" spans="13:14">
      <c r="M38">
        <v>35</v>
      </c>
      <c r="N38" t="str">
        <f t="shared" si="0"/>
        <v>AI</v>
      </c>
    </row>
    <row r="39" spans="13:14">
      <c r="M39">
        <v>36</v>
      </c>
      <c r="N39" t="str">
        <f t="shared" si="0"/>
        <v>AJ</v>
      </c>
    </row>
    <row r="40" spans="13:14">
      <c r="M40">
        <v>37</v>
      </c>
      <c r="N40" t="str">
        <f t="shared" si="0"/>
        <v>AK</v>
      </c>
    </row>
    <row r="41" spans="13:14">
      <c r="M41">
        <v>38</v>
      </c>
      <c r="N41" t="str">
        <f t="shared" si="0"/>
        <v>AL</v>
      </c>
    </row>
    <row r="42" spans="13:14">
      <c r="M42">
        <v>39</v>
      </c>
      <c r="N42" t="str">
        <f t="shared" si="0"/>
        <v>AM</v>
      </c>
    </row>
    <row r="43" spans="13:14">
      <c r="M43">
        <v>40</v>
      </c>
      <c r="N43" t="str">
        <f t="shared" si="0"/>
        <v>AN</v>
      </c>
    </row>
    <row r="44" spans="13:14">
      <c r="M44">
        <v>41</v>
      </c>
      <c r="N44" t="str">
        <f t="shared" si="0"/>
        <v>AO</v>
      </c>
    </row>
    <row r="45" spans="13:14">
      <c r="M45">
        <v>42</v>
      </c>
      <c r="N45" t="str">
        <f t="shared" si="0"/>
        <v>AP</v>
      </c>
    </row>
    <row r="46" spans="13:14">
      <c r="M46">
        <v>43</v>
      </c>
      <c r="N46" t="str">
        <f t="shared" si="0"/>
        <v>AQ</v>
      </c>
    </row>
    <row r="47" spans="13:14">
      <c r="M47">
        <v>44</v>
      </c>
      <c r="N47" t="str">
        <f t="shared" si="0"/>
        <v>AR</v>
      </c>
    </row>
    <row r="48" spans="13:14">
      <c r="M48">
        <v>45</v>
      </c>
      <c r="N48" t="str">
        <f t="shared" si="0"/>
        <v>AS</v>
      </c>
    </row>
    <row r="49" spans="13:14">
      <c r="M49">
        <v>46</v>
      </c>
      <c r="N49" t="str">
        <f t="shared" si="0"/>
        <v>AT</v>
      </c>
    </row>
    <row r="50" spans="13:14">
      <c r="M50">
        <v>47</v>
      </c>
      <c r="N50" t="str">
        <f t="shared" si="0"/>
        <v>AU</v>
      </c>
    </row>
    <row r="51" spans="13:14">
      <c r="M51">
        <v>48</v>
      </c>
      <c r="N51" t="str">
        <f t="shared" si="0"/>
        <v>AV</v>
      </c>
    </row>
    <row r="52" spans="13:14">
      <c r="M52">
        <v>49</v>
      </c>
      <c r="N52" t="str">
        <f t="shared" si="0"/>
        <v>AW</v>
      </c>
    </row>
    <row r="53" spans="13:14">
      <c r="M53">
        <v>50</v>
      </c>
      <c r="N53" t="str">
        <f t="shared" si="0"/>
        <v>AX</v>
      </c>
    </row>
    <row r="54" spans="13:14">
      <c r="M54">
        <v>51</v>
      </c>
      <c r="N54" t="str">
        <f t="shared" si="0"/>
        <v>AY</v>
      </c>
    </row>
    <row r="55" spans="13:14">
      <c r="M55">
        <v>52</v>
      </c>
      <c r="N55" t="str">
        <f t="shared" si="0"/>
        <v>AZ</v>
      </c>
    </row>
    <row r="56" spans="13:14">
      <c r="M56">
        <v>53</v>
      </c>
      <c r="N56" t="str">
        <f t="shared" si="0"/>
        <v>BA</v>
      </c>
    </row>
    <row r="57" spans="13:14">
      <c r="M57">
        <v>54</v>
      </c>
      <c r="N57" t="str">
        <f t="shared" si="0"/>
        <v>BB</v>
      </c>
    </row>
    <row r="58" spans="13:14">
      <c r="M58">
        <v>55</v>
      </c>
      <c r="N58" t="str">
        <f t="shared" si="0"/>
        <v>BC</v>
      </c>
    </row>
    <row r="59" spans="13:14">
      <c r="M59">
        <v>56</v>
      </c>
      <c r="N59" t="str">
        <f t="shared" si="0"/>
        <v>BD</v>
      </c>
    </row>
    <row r="60" spans="13:14">
      <c r="M60">
        <v>57</v>
      </c>
      <c r="N60" t="str">
        <f t="shared" si="0"/>
        <v>BE</v>
      </c>
    </row>
    <row r="61" spans="13:14">
      <c r="M61">
        <v>58</v>
      </c>
      <c r="N61" t="str">
        <f t="shared" si="0"/>
        <v>BF</v>
      </c>
    </row>
    <row r="62" spans="13:14">
      <c r="M62">
        <v>59</v>
      </c>
      <c r="N62" t="str">
        <f t="shared" si="0"/>
        <v>BG</v>
      </c>
    </row>
    <row r="63" spans="13:14">
      <c r="M63">
        <v>60</v>
      </c>
      <c r="N63" t="str">
        <f t="shared" si="0"/>
        <v>BH</v>
      </c>
    </row>
    <row r="64" spans="13:14">
      <c r="M64">
        <v>61</v>
      </c>
      <c r="N64" t="str">
        <f t="shared" si="0"/>
        <v>BI</v>
      </c>
    </row>
    <row r="65" spans="13:14">
      <c r="M65">
        <v>62</v>
      </c>
      <c r="N65" t="str">
        <f t="shared" si="0"/>
        <v>BJ</v>
      </c>
    </row>
    <row r="66" spans="13:14">
      <c r="M66">
        <v>63</v>
      </c>
      <c r="N66" t="str">
        <f t="shared" si="0"/>
        <v>BK</v>
      </c>
    </row>
    <row r="67" spans="13:14">
      <c r="M67">
        <v>64</v>
      </c>
      <c r="N67" t="str">
        <f t="shared" si="0"/>
        <v>BL</v>
      </c>
    </row>
    <row r="68" spans="13:14">
      <c r="M68">
        <v>65</v>
      </c>
      <c r="N68" t="str">
        <f t="shared" ref="N68:N131" si="3">toColumnId(M68)</f>
        <v>BM</v>
      </c>
    </row>
    <row r="69" spans="13:14">
      <c r="M69">
        <v>66</v>
      </c>
      <c r="N69" t="str">
        <f t="shared" si="3"/>
        <v>BN</v>
      </c>
    </row>
    <row r="70" spans="13:14">
      <c r="M70">
        <v>67</v>
      </c>
      <c r="N70" t="str">
        <f t="shared" si="3"/>
        <v>BO</v>
      </c>
    </row>
    <row r="71" spans="13:14">
      <c r="M71">
        <v>68</v>
      </c>
      <c r="N71" t="str">
        <f t="shared" si="3"/>
        <v>BP</v>
      </c>
    </row>
    <row r="72" spans="13:14">
      <c r="M72">
        <v>69</v>
      </c>
      <c r="N72" t="str">
        <f t="shared" si="3"/>
        <v>BQ</v>
      </c>
    </row>
    <row r="73" spans="13:14">
      <c r="M73">
        <v>70</v>
      </c>
      <c r="N73" t="str">
        <f t="shared" si="3"/>
        <v>BR</v>
      </c>
    </row>
    <row r="74" spans="13:14">
      <c r="M74">
        <v>71</v>
      </c>
      <c r="N74" t="str">
        <f t="shared" si="3"/>
        <v>BS</v>
      </c>
    </row>
    <row r="75" spans="13:14">
      <c r="M75">
        <v>72</v>
      </c>
      <c r="N75" t="str">
        <f t="shared" si="3"/>
        <v>BT</v>
      </c>
    </row>
    <row r="76" spans="13:14">
      <c r="M76">
        <v>73</v>
      </c>
      <c r="N76" t="str">
        <f t="shared" si="3"/>
        <v>BU</v>
      </c>
    </row>
    <row r="77" spans="13:14">
      <c r="M77">
        <v>74</v>
      </c>
      <c r="N77" t="str">
        <f t="shared" si="3"/>
        <v>BV</v>
      </c>
    </row>
    <row r="78" spans="13:14">
      <c r="M78">
        <v>75</v>
      </c>
      <c r="N78" t="str">
        <f t="shared" si="3"/>
        <v>BW</v>
      </c>
    </row>
    <row r="79" spans="13:14">
      <c r="M79">
        <v>76</v>
      </c>
      <c r="N79" t="str">
        <f t="shared" si="3"/>
        <v>BX</v>
      </c>
    </row>
    <row r="80" spans="13:14">
      <c r="M80">
        <v>77</v>
      </c>
      <c r="N80" t="str">
        <f t="shared" si="3"/>
        <v>BY</v>
      </c>
    </row>
    <row r="81" spans="13:14">
      <c r="M81">
        <v>78</v>
      </c>
      <c r="N81" t="str">
        <f t="shared" si="3"/>
        <v>BZ</v>
      </c>
    </row>
    <row r="82" spans="13:14">
      <c r="M82">
        <v>79</v>
      </c>
      <c r="N82" t="str">
        <f t="shared" si="3"/>
        <v>CA</v>
      </c>
    </row>
    <row r="83" spans="13:14">
      <c r="M83">
        <v>80</v>
      </c>
      <c r="N83" t="str">
        <f t="shared" si="3"/>
        <v>CB</v>
      </c>
    </row>
    <row r="84" spans="13:14">
      <c r="M84">
        <v>81</v>
      </c>
      <c r="N84" t="str">
        <f t="shared" si="3"/>
        <v>CC</v>
      </c>
    </row>
    <row r="85" spans="13:14">
      <c r="M85">
        <v>82</v>
      </c>
      <c r="N85" t="str">
        <f t="shared" si="3"/>
        <v>CD</v>
      </c>
    </row>
    <row r="86" spans="13:14">
      <c r="M86">
        <v>83</v>
      </c>
      <c r="N86" t="str">
        <f t="shared" si="3"/>
        <v>CE</v>
      </c>
    </row>
    <row r="87" spans="13:14">
      <c r="M87">
        <v>84</v>
      </c>
      <c r="N87" t="str">
        <f t="shared" si="3"/>
        <v>CF</v>
      </c>
    </row>
    <row r="88" spans="13:14">
      <c r="M88">
        <v>85</v>
      </c>
      <c r="N88" t="str">
        <f t="shared" si="3"/>
        <v>CG</v>
      </c>
    </row>
    <row r="89" spans="13:14">
      <c r="M89">
        <v>86</v>
      </c>
      <c r="N89" t="str">
        <f t="shared" si="3"/>
        <v>CH</v>
      </c>
    </row>
    <row r="90" spans="13:14">
      <c r="M90">
        <v>87</v>
      </c>
      <c r="N90" t="str">
        <f t="shared" si="3"/>
        <v>CI</v>
      </c>
    </row>
    <row r="91" spans="13:14">
      <c r="M91">
        <v>88</v>
      </c>
      <c r="N91" t="str">
        <f t="shared" si="3"/>
        <v>CJ</v>
      </c>
    </row>
    <row r="92" spans="13:14">
      <c r="M92">
        <v>89</v>
      </c>
      <c r="N92" t="str">
        <f t="shared" si="3"/>
        <v>CK</v>
      </c>
    </row>
    <row r="93" spans="13:14">
      <c r="M93">
        <v>90</v>
      </c>
      <c r="N93" t="str">
        <f t="shared" si="3"/>
        <v>CL</v>
      </c>
    </row>
    <row r="94" spans="13:14">
      <c r="M94">
        <v>91</v>
      </c>
      <c r="N94" t="str">
        <f t="shared" si="3"/>
        <v>CM</v>
      </c>
    </row>
    <row r="95" spans="13:14">
      <c r="M95">
        <v>92</v>
      </c>
      <c r="N95" t="str">
        <f t="shared" si="3"/>
        <v>CN</v>
      </c>
    </row>
    <row r="96" spans="13:14">
      <c r="M96">
        <v>93</v>
      </c>
      <c r="N96" t="str">
        <f t="shared" si="3"/>
        <v>CO</v>
      </c>
    </row>
    <row r="97" spans="13:14">
      <c r="M97">
        <v>94</v>
      </c>
      <c r="N97" t="str">
        <f t="shared" si="3"/>
        <v>CP</v>
      </c>
    </row>
    <row r="98" spans="13:14">
      <c r="M98">
        <v>95</v>
      </c>
      <c r="N98" t="str">
        <f t="shared" si="3"/>
        <v>CQ</v>
      </c>
    </row>
    <row r="99" spans="13:14">
      <c r="M99">
        <v>96</v>
      </c>
      <c r="N99" t="str">
        <f t="shared" si="3"/>
        <v>CR</v>
      </c>
    </row>
    <row r="100" spans="13:14">
      <c r="M100">
        <v>97</v>
      </c>
      <c r="N100" t="str">
        <f t="shared" si="3"/>
        <v>CS</v>
      </c>
    </row>
    <row r="101" spans="13:14">
      <c r="M101">
        <v>98</v>
      </c>
      <c r="N101" t="str">
        <f t="shared" si="3"/>
        <v>CT</v>
      </c>
    </row>
    <row r="102" spans="13:14">
      <c r="M102">
        <v>99</v>
      </c>
      <c r="N102" t="str">
        <f t="shared" si="3"/>
        <v>CU</v>
      </c>
    </row>
    <row r="103" spans="13:14">
      <c r="M103">
        <v>100</v>
      </c>
      <c r="N103" t="str">
        <f t="shared" si="3"/>
        <v>CV</v>
      </c>
    </row>
    <row r="104" spans="13:14">
      <c r="M104">
        <v>101</v>
      </c>
      <c r="N104" t="str">
        <f t="shared" si="3"/>
        <v>CW</v>
      </c>
    </row>
    <row r="105" spans="13:14">
      <c r="M105">
        <v>102</v>
      </c>
      <c r="N105" t="str">
        <f t="shared" si="3"/>
        <v>CX</v>
      </c>
    </row>
    <row r="106" spans="13:14">
      <c r="M106">
        <v>103</v>
      </c>
      <c r="N106" t="str">
        <f t="shared" si="3"/>
        <v>CY</v>
      </c>
    </row>
    <row r="107" spans="13:14">
      <c r="M107">
        <v>104</v>
      </c>
      <c r="N107" t="str">
        <f t="shared" si="3"/>
        <v>CZ</v>
      </c>
    </row>
    <row r="108" spans="13:14">
      <c r="M108">
        <v>105</v>
      </c>
      <c r="N108" t="str">
        <f t="shared" si="3"/>
        <v>DA</v>
      </c>
    </row>
    <row r="109" spans="13:14">
      <c r="M109">
        <v>106</v>
      </c>
      <c r="N109" t="str">
        <f t="shared" si="3"/>
        <v>DB</v>
      </c>
    </row>
    <row r="110" spans="13:14">
      <c r="M110">
        <v>107</v>
      </c>
      <c r="N110" t="str">
        <f t="shared" si="3"/>
        <v>DC</v>
      </c>
    </row>
    <row r="111" spans="13:14">
      <c r="M111">
        <v>108</v>
      </c>
      <c r="N111" t="str">
        <f t="shared" si="3"/>
        <v>DD</v>
      </c>
    </row>
    <row r="112" spans="13:14">
      <c r="M112">
        <v>109</v>
      </c>
      <c r="N112" t="str">
        <f t="shared" si="3"/>
        <v>DE</v>
      </c>
    </row>
    <row r="113" spans="13:14">
      <c r="M113">
        <v>110</v>
      </c>
      <c r="N113" t="str">
        <f t="shared" si="3"/>
        <v>DF</v>
      </c>
    </row>
    <row r="114" spans="13:14">
      <c r="M114">
        <v>111</v>
      </c>
      <c r="N114" t="str">
        <f t="shared" si="3"/>
        <v>DG</v>
      </c>
    </row>
    <row r="115" spans="13:14">
      <c r="M115">
        <v>112</v>
      </c>
      <c r="N115" t="str">
        <f t="shared" si="3"/>
        <v>DH</v>
      </c>
    </row>
    <row r="116" spans="13:14">
      <c r="M116">
        <v>113</v>
      </c>
      <c r="N116" t="str">
        <f t="shared" si="3"/>
        <v>DI</v>
      </c>
    </row>
    <row r="117" spans="13:14">
      <c r="M117">
        <v>114</v>
      </c>
      <c r="N117" t="str">
        <f t="shared" si="3"/>
        <v>DJ</v>
      </c>
    </row>
    <row r="118" spans="13:14">
      <c r="M118">
        <v>115</v>
      </c>
      <c r="N118" t="str">
        <f t="shared" si="3"/>
        <v>DK</v>
      </c>
    </row>
    <row r="119" spans="13:14">
      <c r="M119">
        <v>116</v>
      </c>
      <c r="N119" t="str">
        <f t="shared" si="3"/>
        <v>DL</v>
      </c>
    </row>
    <row r="120" spans="13:14">
      <c r="M120">
        <v>117</v>
      </c>
      <c r="N120" t="str">
        <f t="shared" si="3"/>
        <v>DM</v>
      </c>
    </row>
    <row r="121" spans="13:14">
      <c r="M121">
        <v>118</v>
      </c>
      <c r="N121" t="str">
        <f t="shared" si="3"/>
        <v>DN</v>
      </c>
    </row>
    <row r="122" spans="13:14">
      <c r="M122">
        <v>119</v>
      </c>
      <c r="N122" t="str">
        <f t="shared" si="3"/>
        <v>DO</v>
      </c>
    </row>
    <row r="123" spans="13:14">
      <c r="M123">
        <v>120</v>
      </c>
      <c r="N123" t="str">
        <f t="shared" si="3"/>
        <v>DP</v>
      </c>
    </row>
    <row r="124" spans="13:14">
      <c r="M124">
        <v>121</v>
      </c>
      <c r="N124" t="str">
        <f t="shared" si="3"/>
        <v>DQ</v>
      </c>
    </row>
    <row r="125" spans="13:14">
      <c r="M125">
        <v>122</v>
      </c>
      <c r="N125" t="str">
        <f t="shared" si="3"/>
        <v>DR</v>
      </c>
    </row>
    <row r="126" spans="13:14">
      <c r="M126">
        <v>123</v>
      </c>
      <c r="N126" t="str">
        <f t="shared" si="3"/>
        <v>DS</v>
      </c>
    </row>
    <row r="127" spans="13:14">
      <c r="M127">
        <v>124</v>
      </c>
      <c r="N127" t="str">
        <f t="shared" si="3"/>
        <v>DT</v>
      </c>
    </row>
    <row r="128" spans="13:14">
      <c r="M128">
        <v>125</v>
      </c>
      <c r="N128" t="str">
        <f t="shared" si="3"/>
        <v>DU</v>
      </c>
    </row>
    <row r="129" spans="13:14">
      <c r="M129">
        <v>126</v>
      </c>
      <c r="N129" t="str">
        <f t="shared" si="3"/>
        <v>DV</v>
      </c>
    </row>
    <row r="130" spans="13:14">
      <c r="M130">
        <v>127</v>
      </c>
      <c r="N130" t="str">
        <f t="shared" si="3"/>
        <v>DW</v>
      </c>
    </row>
    <row r="131" spans="13:14">
      <c r="M131">
        <v>128</v>
      </c>
      <c r="N131" t="str">
        <f t="shared" si="3"/>
        <v>DX</v>
      </c>
    </row>
    <row r="132" spans="13:14">
      <c r="M132">
        <v>129</v>
      </c>
      <c r="N132" t="str">
        <f t="shared" ref="N132:N153" si="4">toColumnId(M132)</f>
        <v>DY</v>
      </c>
    </row>
    <row r="133" spans="13:14">
      <c r="M133">
        <v>130</v>
      </c>
      <c r="N133" t="str">
        <f t="shared" si="4"/>
        <v>DZ</v>
      </c>
    </row>
    <row r="134" spans="13:14">
      <c r="M134">
        <v>131</v>
      </c>
      <c r="N134" t="str">
        <f t="shared" si="4"/>
        <v>EA</v>
      </c>
    </row>
    <row r="135" spans="13:14">
      <c r="M135">
        <v>132</v>
      </c>
      <c r="N135" t="str">
        <f t="shared" si="4"/>
        <v>EB</v>
      </c>
    </row>
    <row r="136" spans="13:14">
      <c r="M136">
        <v>133</v>
      </c>
      <c r="N136" t="str">
        <f t="shared" si="4"/>
        <v>EC</v>
      </c>
    </row>
    <row r="137" spans="13:14">
      <c r="M137">
        <v>134</v>
      </c>
      <c r="N137" t="str">
        <f t="shared" si="4"/>
        <v>ED</v>
      </c>
    </row>
    <row r="138" spans="13:14">
      <c r="M138">
        <v>135</v>
      </c>
      <c r="N138" t="str">
        <f t="shared" si="4"/>
        <v>EE</v>
      </c>
    </row>
    <row r="139" spans="13:14">
      <c r="M139">
        <v>136</v>
      </c>
      <c r="N139" t="str">
        <f t="shared" si="4"/>
        <v>EF</v>
      </c>
    </row>
    <row r="140" spans="13:14">
      <c r="M140">
        <v>137</v>
      </c>
      <c r="N140" t="str">
        <f t="shared" si="4"/>
        <v>EG</v>
      </c>
    </row>
    <row r="141" spans="13:14">
      <c r="M141">
        <v>138</v>
      </c>
      <c r="N141" t="str">
        <f t="shared" si="4"/>
        <v>EH</v>
      </c>
    </row>
    <row r="142" spans="13:14">
      <c r="M142">
        <v>139</v>
      </c>
      <c r="N142" t="str">
        <f t="shared" si="4"/>
        <v>EI</v>
      </c>
    </row>
    <row r="143" spans="13:14">
      <c r="M143">
        <v>140</v>
      </c>
      <c r="N143" t="str">
        <f t="shared" si="4"/>
        <v>EJ</v>
      </c>
    </row>
    <row r="144" spans="13:14">
      <c r="M144">
        <v>141</v>
      </c>
      <c r="N144" t="str">
        <f t="shared" si="4"/>
        <v>EK</v>
      </c>
    </row>
    <row r="145" spans="13:14">
      <c r="M145">
        <v>142</v>
      </c>
      <c r="N145" t="str">
        <f t="shared" si="4"/>
        <v>EL</v>
      </c>
    </row>
    <row r="146" spans="13:14">
      <c r="M146">
        <v>143</v>
      </c>
      <c r="N146" t="str">
        <f t="shared" si="4"/>
        <v>EM</v>
      </c>
    </row>
    <row r="147" spans="13:14">
      <c r="M147">
        <v>144</v>
      </c>
      <c r="N147" t="str">
        <f t="shared" si="4"/>
        <v>EN</v>
      </c>
    </row>
    <row r="148" spans="13:14">
      <c r="M148">
        <v>145</v>
      </c>
      <c r="N148" t="str">
        <f t="shared" si="4"/>
        <v>EO</v>
      </c>
    </row>
    <row r="149" spans="13:14">
      <c r="M149">
        <v>146</v>
      </c>
      <c r="N149" t="str">
        <f t="shared" si="4"/>
        <v>EP</v>
      </c>
    </row>
    <row r="150" spans="13:14">
      <c r="M150">
        <v>147</v>
      </c>
      <c r="N150" t="str">
        <f t="shared" si="4"/>
        <v>EQ</v>
      </c>
    </row>
    <row r="151" spans="13:14">
      <c r="M151">
        <v>148</v>
      </c>
      <c r="N151" t="str">
        <f t="shared" si="4"/>
        <v>ER</v>
      </c>
    </row>
    <row r="152" spans="13:14">
      <c r="M152">
        <v>149</v>
      </c>
      <c r="N152" t="str">
        <f t="shared" si="4"/>
        <v>ES</v>
      </c>
    </row>
    <row r="153" spans="13:14">
      <c r="M153">
        <v>150</v>
      </c>
      <c r="N153" t="str">
        <f t="shared" si="4"/>
        <v>ET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Arkusz6"/>
  <dimension ref="A1:BY11"/>
  <sheetViews>
    <sheetView showGridLines="0" workbookViewId="0">
      <selection activeCell="V6" sqref="V6"/>
    </sheetView>
  </sheetViews>
  <sheetFormatPr defaultColWidth="2.140625" defaultRowHeight="15"/>
  <sheetData>
    <row r="1" spans="1:77">
      <c r="A1" s="12" t="s">
        <v>47</v>
      </c>
      <c r="B1" s="13"/>
      <c r="C1" s="13"/>
      <c r="D1" s="13"/>
      <c r="E1" s="13"/>
      <c r="J1" s="16" t="s">
        <v>53</v>
      </c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</row>
    <row r="2" spans="1:77">
      <c r="A2" s="12"/>
      <c r="B2" s="13"/>
      <c r="C2" s="13"/>
      <c r="D2" s="13"/>
      <c r="E2" s="13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</row>
    <row r="3" spans="1:77">
      <c r="A3" s="12" t="s">
        <v>48</v>
      </c>
      <c r="B3" s="13"/>
      <c r="C3" s="13"/>
      <c r="D3" s="13"/>
      <c r="E3" s="13"/>
    </row>
    <row r="4" spans="1:77">
      <c r="A4" s="12"/>
      <c r="B4" s="13"/>
      <c r="C4" s="13"/>
      <c r="D4" s="13"/>
      <c r="E4" s="13"/>
    </row>
    <row r="5" spans="1:77">
      <c r="I5" s="15" t="s">
        <v>51</v>
      </c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5"/>
      <c r="AZ5" s="15"/>
      <c r="BA5" s="15"/>
      <c r="BB5" s="15"/>
      <c r="BC5" s="15"/>
      <c r="BD5" s="15"/>
      <c r="BE5" s="15"/>
      <c r="BF5" s="15"/>
      <c r="BG5" s="15"/>
      <c r="BH5" s="15"/>
      <c r="BI5" s="15"/>
      <c r="BJ5" s="15"/>
      <c r="BK5" s="15"/>
      <c r="BL5" s="15"/>
      <c r="BM5" s="15"/>
      <c r="BN5" s="15"/>
      <c r="BO5" s="15"/>
      <c r="BP5" s="15"/>
    </row>
    <row r="7" spans="1:77">
      <c r="A7" s="13" t="s">
        <v>49</v>
      </c>
      <c r="B7" s="13"/>
      <c r="C7" s="13"/>
      <c r="D7" s="13"/>
      <c r="E7" s="13"/>
      <c r="F7" s="13"/>
      <c r="G7" s="13"/>
      <c r="H7" s="13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U7" s="2"/>
      <c r="BV7" s="2"/>
      <c r="BW7" s="2"/>
      <c r="BX7" s="2"/>
      <c r="BY7" s="2"/>
    </row>
    <row r="8" spans="1:77" s="4" customFormat="1" ht="12" customHeight="1"/>
    <row r="9" spans="1:77">
      <c r="A9" s="13" t="s">
        <v>50</v>
      </c>
      <c r="B9" s="13"/>
      <c r="C9" s="13"/>
      <c r="D9" s="13"/>
      <c r="E9" s="13"/>
      <c r="F9" s="13"/>
      <c r="G9" s="13"/>
      <c r="H9" s="13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U9" s="2"/>
      <c r="BV9" s="2"/>
      <c r="BW9" s="2"/>
      <c r="BX9" s="2"/>
      <c r="BY9" s="2"/>
    </row>
    <row r="11" spans="1:77">
      <c r="A11" s="11"/>
      <c r="B11" s="11"/>
      <c r="C11" s="11"/>
      <c r="D11" s="11"/>
      <c r="E11" s="11"/>
      <c r="F11" s="11"/>
      <c r="G11" s="11"/>
      <c r="H11" s="11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</row>
  </sheetData>
  <mergeCells count="7">
    <mergeCell ref="I5:BP5"/>
    <mergeCell ref="J1:AB2"/>
    <mergeCell ref="A11:H11"/>
    <mergeCell ref="A1:E2"/>
    <mergeCell ref="A3:E4"/>
    <mergeCell ref="A9:H9"/>
    <mergeCell ref="A7:H7"/>
  </mergeCells>
  <pageMargins left="0.7" right="0.7" top="0.75" bottom="0.75" header="0.3" footer="0.3"/>
  <pageSetup paperSize="9" orientation="portrait" horizontalDpi="0" verticalDpi="0" r:id="rId1"/>
  <legacyDrawing r:id="rId2"/>
  <controls>
    <control shapeId="4101" r:id="rId3" name="CommandButton1"/>
    <control shapeId="4100" r:id="rId4" name="TextBox2"/>
    <control shapeId="4097" r:id="rId5" name="TextBox1"/>
    <control shapeId="4103" r:id="rId6" name="CommandButton2"/>
  </controls>
</worksheet>
</file>

<file path=xl/worksheets/sheet7.xml><?xml version="1.0" encoding="utf-8"?>
<worksheet xmlns="http://schemas.openxmlformats.org/spreadsheetml/2006/main" xmlns:r="http://schemas.openxmlformats.org/officeDocument/2006/relationships">
  <sheetPr codeName="Arkusz7"/>
  <dimension ref="A1:AS19"/>
  <sheetViews>
    <sheetView showGridLines="0" workbookViewId="0">
      <selection activeCell="Q13" sqref="Q13"/>
    </sheetView>
  </sheetViews>
  <sheetFormatPr defaultColWidth="3" defaultRowHeight="15"/>
  <sheetData>
    <row r="1" spans="1:45">
      <c r="A1" s="12" t="s">
        <v>47</v>
      </c>
      <c r="B1" s="12"/>
      <c r="C1" s="12"/>
      <c r="I1" s="16" t="s">
        <v>52</v>
      </c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7"/>
      <c r="Y1" s="17"/>
      <c r="Z1" s="17"/>
      <c r="AA1" s="17"/>
      <c r="AB1" s="17"/>
    </row>
    <row r="2" spans="1:45">
      <c r="A2" s="12"/>
      <c r="B2" s="12"/>
      <c r="C2" s="12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7"/>
      <c r="Y2" s="17"/>
      <c r="Z2" s="17"/>
      <c r="AA2" s="17"/>
      <c r="AB2" s="17"/>
    </row>
    <row r="3" spans="1:45">
      <c r="A3" s="12" t="s">
        <v>48</v>
      </c>
      <c r="B3" s="12"/>
      <c r="C3" s="12"/>
    </row>
    <row r="4" spans="1:45">
      <c r="A4" s="12"/>
      <c r="B4" s="12"/>
      <c r="C4" s="12"/>
    </row>
    <row r="5" spans="1:45">
      <c r="J5" s="15" t="s">
        <v>52</v>
      </c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</row>
    <row r="6" spans="1:45">
      <c r="A6" s="14"/>
      <c r="B6" s="14"/>
      <c r="C6" s="14"/>
      <c r="D6" s="14"/>
      <c r="E6" s="14"/>
      <c r="F6" s="14"/>
      <c r="G6" s="14"/>
    </row>
    <row r="7" spans="1:45">
      <c r="B7" s="2"/>
      <c r="C7" s="2"/>
      <c r="D7" s="2"/>
      <c r="E7" s="2"/>
      <c r="F7" s="2"/>
    </row>
    <row r="8" spans="1:45">
      <c r="A8" s="2"/>
      <c r="B8" s="2"/>
      <c r="C8" s="2"/>
      <c r="D8" s="2"/>
      <c r="E8" s="2"/>
      <c r="F8" s="2"/>
    </row>
    <row r="9" spans="1:45">
      <c r="A9" s="2"/>
      <c r="B9" s="2"/>
      <c r="C9" s="2"/>
      <c r="D9" s="2"/>
      <c r="E9" s="2"/>
      <c r="F9" s="2"/>
    </row>
    <row r="10" spans="1:45">
      <c r="A10" s="2"/>
      <c r="B10" s="2"/>
      <c r="C10" s="2"/>
      <c r="D10" s="2"/>
      <c r="E10" s="2"/>
      <c r="F10" s="2"/>
    </row>
    <row r="11" spans="1:45">
      <c r="A11" s="2"/>
      <c r="B11" s="2"/>
      <c r="C11" s="2"/>
      <c r="D11" s="2"/>
      <c r="E11" s="2"/>
      <c r="F11" s="2"/>
    </row>
    <row r="12" spans="1:45">
      <c r="A12" s="2"/>
      <c r="B12" s="2"/>
      <c r="C12" s="2"/>
      <c r="D12" s="2"/>
      <c r="E12" s="2"/>
      <c r="F12" s="2"/>
    </row>
    <row r="13" spans="1:45">
      <c r="A13" s="14"/>
      <c r="B13" s="14"/>
      <c r="C13" s="14"/>
      <c r="D13" s="14"/>
      <c r="E13" s="14"/>
      <c r="F13" s="14"/>
      <c r="G13" s="14"/>
    </row>
    <row r="19" spans="13:13">
      <c r="M19" s="3"/>
    </row>
  </sheetData>
  <mergeCells count="6">
    <mergeCell ref="A1:C2"/>
    <mergeCell ref="A3:C4"/>
    <mergeCell ref="A6:G6"/>
    <mergeCell ref="A13:G13"/>
    <mergeCell ref="J5:AS5"/>
    <mergeCell ref="I1:AB2"/>
  </mergeCells>
  <pageMargins left="0.7" right="0.7" top="0.75" bottom="0.75" header="0.3" footer="0.3"/>
  <pageSetup paperSize="9" orientation="portrait" horizontalDpi="0" verticalDpi="0" r:id="rId1"/>
  <legacyDrawing r:id="rId2"/>
  <controls>
    <control shapeId="5125" r:id="rId3" name="CommandButton2"/>
    <control shapeId="5123" r:id="rId4" name="CommandButton1"/>
    <control shapeId="5122" r:id="rId5" name="TextBox2"/>
    <control shapeId="5121" r:id="rId6" name="TextBox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7</vt:i4>
      </vt:variant>
    </vt:vector>
  </HeadingPairs>
  <TitlesOfParts>
    <vt:vector size="7" baseType="lpstr">
      <vt:lpstr>menu</vt:lpstr>
      <vt:lpstr>symetric</vt:lpstr>
      <vt:lpstr>asymetric</vt:lpstr>
      <vt:lpstr>data</vt:lpstr>
      <vt:lpstr>Arkusz2</vt:lpstr>
      <vt:lpstr>visualizationCaesar</vt:lpstr>
      <vt:lpstr>visualizationPlayfair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arkadius</dc:creator>
  <cp:lastModifiedBy>Arkadius</cp:lastModifiedBy>
  <dcterms:created xsi:type="dcterms:W3CDTF">2016-03-14T21:48:24Z</dcterms:created>
  <dcterms:modified xsi:type="dcterms:W3CDTF">2016-04-18T17:14:38Z</dcterms:modified>
</cp:coreProperties>
</file>